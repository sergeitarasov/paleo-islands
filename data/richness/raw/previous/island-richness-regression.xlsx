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091ccdf23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ession data" sheetId="1" r:id="R431d548d29444b63"/>
    <x:sheet xmlns:r="http://schemas.openxmlformats.org/officeDocument/2006/relationships" name="Species records" sheetId="2" r:id="Re0bc94cd97c44110"/>
    <x:sheet xmlns:r="http://schemas.openxmlformats.org/officeDocument/2006/relationships" name="Read me" sheetId="3" r:id="R9121d8b9b2ae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7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4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c295264c34250" /><Relationship Type="http://schemas.openxmlformats.org/officeDocument/2006/relationships/theme" Target="/xl/theme/theme1.xml" Id="Rd2203d6b6a3d4d8c" /><Relationship Type="http://schemas.openxmlformats.org/officeDocument/2006/relationships/sharedStrings" Target="/xl/sharedStrings.xml" Id="R475cec255a1c4fd3" /><Relationship Type="http://schemas.openxmlformats.org/officeDocument/2006/relationships/worksheet" Target="/xl/worksheets/sheet1.xml" Id="R431d548d29444b63" /><Relationship Type="http://schemas.openxmlformats.org/officeDocument/2006/relationships/worksheet" Target="/xl/worksheets/sheet2.xml" Id="Re0bc94cd97c44110" /><Relationship Type="http://schemas.openxmlformats.org/officeDocument/2006/relationships/worksheet" Target="/xl/worksheets/sheet3.xml" Id="R9121d8b9b2ae4ca5" /></Relationships>
</file>

<file path=xl/tables/table1.xml><?xml version="1.0" encoding="utf-8"?>
<x:table xmlns:x="http://schemas.openxmlformats.org/spreadsheetml/2006/main" id="1" name="IslandRegressionData" displayName="IslandRegressionData" ref="A5:P23" headerRowCount="1" totalsRowCount="0" totalsRowShown="0">
  <x:tableColumns count="16">
    <x:tableColumn id="1" name="island_id"/>
    <x:tableColumn id="2" name="island"/>
    <x:tableColumn id="3" name="n_spp"/>
    <x:tableColumn id="4" name="area_km2"/>
    <x:tableColumn id="5" name="log_n_spp"/>
    <x:tableColumn id="6" name="log_area_km2"/>
    <x:tableColumn id="7" name="macroregion"/>
    <x:tableColumn id="8" name="spatial_unit"/>
    <x:tableColumn id="9" name="island_type"/>
    <x:tableColumn id="10" name="richness_source"/>
    <x:tableColumn id="11" name="richness_scope"/>
    <x:tableColumn id="12" name="area_source"/>
    <x:tableColumn id="13" name="area_source_url"/>
    <x:tableColumn id="14" name="area_match_status"/>
    <x:tableColumn id="15" name="include_base_model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mericanSpeciesRecords" displayName="AmericanSpeciesRecords" ref="A5:G82" headerRowCount="1" totalsRowCount="0" totalsRowShown="0">
  <x:tableColumns count="7">
    <x:tableColumn id="1" name="genus"/>
    <x:tableColumn id="2" name="is genus present in the American Continent (native)?"/>
    <x:tableColumn id="3" name="species"/>
    <x:tableColumn id="4" name="Island"/>
    <x:tableColumn id="5" name="obs"/>
    <x:tableColumn id="6" name="ref"/>
    <x:tableColumn id="7" name="(empty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ca3faddd684d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d2ace8680346d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0.670000076293945" hidden="0" customWidth="1"/>
    <x:col min="3" max="3" width="7.110000133514404" hidden="0" customWidth="1"/>
    <x:col min="4" max="4" width="9.5600004196167" hidden="0" customWidth="1"/>
    <x:col min="5" max="5" width="10.109999656677246" hidden="0" customWidth="1"/>
    <x:col min="6" max="6" width="12.5600004196167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  <x:col min="12" max="12" width="32" hidden="0" customWidth="1"/>
    <x:col min="13" max="13" width="28" hidden="0" customWidth="1"/>
    <x:col min="14" max="14" width="18" hidden="0" customWidth="1"/>
    <x:col min="15" max="15" width="18" hidden="0" customWidth="1"/>
    <x:col min="16" max="16" width="32" hidden="0" customWidth="1"/>
  </x:cols>
  <x:sheetData>
    <x:row r="2">
      <x:c r="A2" s="1" t="str">
        <x:v>Island richness data for species-area regression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2" t="str">
        <x:v>First four columns form the requested table. Review scope and area-match flags before fitting.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5" ht="15" hidden="0" customHeight="1">
      <x:c r="A5" s="8" t="str">
        <x:v>island_id</x:v>
      </x:c>
      <x:c r="B5" s="8" t="str">
        <x:v>island</x:v>
      </x:c>
      <x:c r="C5" s="8" t="str">
        <x:v>n_spp</x:v>
      </x:c>
      <x:c r="D5" s="8" t="str">
        <x:v>area_km2</x:v>
      </x:c>
      <x:c r="E5" s="8" t="str">
        <x:v>log_n_spp</x:v>
      </x:c>
      <x:c r="F5" s="8" t="str">
        <x:v>log_area_km2</x:v>
      </x:c>
      <x:c r="G5" s="8" t="str">
        <x:v>macroregion</x:v>
      </x:c>
      <x:c r="H5" s="8" t="str">
        <x:v>spatial_unit</x:v>
      </x:c>
      <x:c r="I5" s="8" t="str">
        <x:v>island_type</x:v>
      </x:c>
      <x:c r="J5" s="8" t="str">
        <x:v>richness_source</x:v>
      </x:c>
      <x:c r="K5" s="8" t="str">
        <x:v>richness_scope</x:v>
      </x:c>
      <x:c r="L5" s="8" t="str">
        <x:v>area_source</x:v>
      </x:c>
      <x:c r="M5" s="8" t="str">
        <x:v>area_source_url</x:v>
      </x:c>
      <x:c r="N5" s="8" t="str">
        <x:v>area_match_status</x:v>
      </x:c>
      <x:c r="O5" s="8" t="str">
        <x:v>include_base_model</x:v>
      </x:c>
      <x:c r="P5" s="8" t="str">
        <x:v>notes</x:v>
      </x:c>
    </x:row>
    <x:row r="6" ht="24" hidden="0" customHeight="1">
      <x:c r="A6" s="11" t="str">
        <x:v>amer_jamaica</x:v>
      </x:c>
      <x:c r="B6" s="14" t="str">
        <x:v>Jamaica</x:v>
      </x:c>
      <x:c r="C6" s="12" t="n">
        <x:v>5</x:v>
      </x:c>
      <x:c r="D6" s="12" t="n">
        <x:v>10990</x:v>
      </x:c>
      <x:c r="E6" s="13" t="n">
        <x:f>IFERROR(LN(C6),"")</x:f>
        <x:v>1.6094379124341003</x:v>
      </x:c>
      <x:c r="F6" s="13" t="n">
        <x:f>IFERROR(LN(D6),"")</x:f>
        <x:v>9.304741047397666</x:v>
      </x:c>
      <x:c r="G6" s="11" t="str">
        <x:v>Caribbean</x:v>
      </x:c>
      <x:c r="H6" s="11" t="str">
        <x:v>island</x:v>
      </x:c>
      <x:c r="I6" s="11" t="str">
        <x:v>oceanic</x:v>
      </x:c>
      <x:c r="J6" s="15" t="str">
        <x:v>Derived from American species records</x:v>
      </x:c>
      <x:c r="K6" s="15" t="str">
        <x:v>Island-origin species only; introductions excluded</x:v>
      </x:c>
      <x:c r="L6" s="15" t="str">
        <x:v>Jamaica Ministry of Agriculture</x:v>
      </x:c>
      <x:c r="M6" s="15" t="str">
        <x:v>https://www.moa.gov.jm/sites/default/files/pdfs/Jam_NMFA.pdf</x:v>
      </x:c>
      <x:c r="N6" s="15" t="str">
        <x:v>Matched</x:v>
      </x:c>
      <x:c r="O6" s="15" t="str">
        <x:v>Yes</x:v>
      </x:c>
      <x:c r="P6" s="15" t="str">
        <x:v>Exact island label in source</x:v>
      </x:c>
    </x:row>
    <x:row r="7" ht="24" hidden="0" customHeight="1">
      <x:c r="A7" s="11" t="str">
        <x:v>amer_cuba</x:v>
      </x:c>
      <x:c r="B7" s="14" t="str">
        <x:v>Cuba</x:v>
      </x:c>
      <x:c r="C7" s="12" t="n">
        <x:v>12</x:v>
      </x:c>
      <x:c r="D7" s="12" t="n">
        <x:v>105806</x:v>
      </x:c>
      <x:c r="E7" s="13" t="n">
        <x:f>IFERROR(LN(C7),"")</x:f>
        <x:v>2.4849066497880004</x:v>
      </x:c>
      <x:c r="F7" s="13" t="n">
        <x:f>IFERROR(LN(D7),"")</x:f>
        <x:v>11.569362507573388</x:v>
      </x:c>
      <x:c r="G7" s="11" t="str">
        <x:v>Caribbean</x:v>
      </x:c>
      <x:c r="H7" s="11" t="str">
        <x:v>main island</x:v>
      </x:c>
      <x:c r="I7" s="11" t="str">
        <x:v>continental-fragment</x:v>
      </x:c>
      <x:c r="J7" s="15" t="str">
        <x:v>Derived from American species records</x:v>
      </x:c>
      <x:c r="K7" s="15" t="str">
        <x:v>Island-origin species only; introductions excluded</x:v>
      </x:c>
      <x:c r="L7" s="15" t="str">
        <x:v>Caribbean island-area compilation</x:v>
      </x:c>
      <x:c r="M7" s="15" t="str">
        <x:v>https://en.wikipedia.org/wiki/List_of_Caribbean_islands_by_area</x:v>
      </x:c>
      <x:c r="N7" s="15" t="str">
        <x:v>Provisional</x:v>
      </x:c>
      <x:c r="O7" s="15" t="str">
        <x:v>Yes</x:v>
      </x:c>
      <x:c r="P7" s="15" t="str">
        <x:v>Main-island area; replace with USGS Global Islands polygon area for final analysis</x:v>
      </x:c>
    </x:row>
    <x:row r="8" ht="24" hidden="0" customHeight="1">
      <x:c r="A8" s="11" t="str">
        <x:v>amer_puerto_rico</x:v>
      </x:c>
      <x:c r="B8" s="14" t="str">
        <x:v>Puerto Rico</x:v>
      </x:c>
      <x:c r="C8" s="12" t="n">
        <x:v>9</x:v>
      </x:c>
      <x:c r="D8" s="12" t="n">
        <x:v>8868</x:v>
      </x:c>
      <x:c r="E8" s="13" t="n">
        <x:f>IFERROR(LN(C8),"")</x:f>
        <x:v>2.1972245773362196</x:v>
      </x:c>
      <x:c r="F8" s="13" t="n">
        <x:f>IFERROR(LN(D8),"")</x:f>
        <x:v>9.090204570736201</x:v>
      </x:c>
      <x:c r="G8" s="11" t="str">
        <x:v>Caribbean</x:v>
      </x:c>
      <x:c r="H8" s="11" t="str">
        <x:v>main island</x:v>
      </x:c>
      <x:c r="I8" s="11" t="str">
        <x:v>oceanic</x:v>
      </x:c>
      <x:c r="J8" s="15" t="str">
        <x:v>Derived from American species records</x:v>
      </x:c>
      <x:c r="K8" s="15" t="str">
        <x:v>Island-origin species only; introductions excluded</x:v>
      </x:c>
      <x:c r="L8" s="15" t="str">
        <x:v>Government of Puerto Rico; island-area compilation for main-island value</x:v>
      </x:c>
      <x:c r="M8" s="15" t="str">
        <x:v>https://gis.pr.gov/Pages/Geografia_PR.aspx</x:v>
      </x:c>
      <x:c r="N8" s="15" t="str">
        <x:v>Provisional</x:v>
      </x:c>
      <x:c r="O8" s="15" t="str">
        <x:v>Yes</x:v>
      </x:c>
      <x:c r="P8" s="15" t="str">
        <x:v>Government page rounds to about 9,000 km2; table uses main-island estimate</x:v>
      </x:c>
    </x:row>
    <x:row r="9" ht="24" hidden="0" customHeight="1">
      <x:c r="A9" s="11" t="str">
        <x:v>amer_hispaniola</x:v>
      </x:c>
      <x:c r="B9" s="14" t="str">
        <x:v>Hispaniola</x:v>
      </x:c>
      <x:c r="C9" s="12" t="n">
        <x:v>20</x:v>
      </x:c>
      <x:c r="D9" s="12" t="n">
        <x:v>76479</x:v>
      </x:c>
      <x:c r="E9" s="13" t="n">
        <x:f>IFERROR(LN(C9),"")</x:f>
        <x:v>2.995732273553991</x:v>
      </x:c>
      <x:c r="F9" s="13" t="n">
        <x:f>IFERROR(LN(D9),"")</x:f>
        <x:v>11.244771472325993</x:v>
      </x:c>
      <x:c r="G9" s="11" t="str">
        <x:v>Caribbean</x:v>
      </x:c>
      <x:c r="H9" s="11" t="str">
        <x:v>island</x:v>
      </x:c>
      <x:c r="I9" s="11" t="str">
        <x:v>continental-fragment</x:v>
      </x:c>
      <x:c r="J9" s="15" t="str">
        <x:v>Derived from American species records</x:v>
      </x:c>
      <x:c r="K9" s="15" t="str">
        <x:v>Island-origin species only; introductions excluded</x:v>
      </x:c>
      <x:c r="L9" s="15" t="str">
        <x:v>Caribbean island-area compilation</x:v>
      </x:c>
      <x:c r="M9" s="15" t="str">
        <x:v>https://en.wikipedia.org/wiki/List_of_Caribbean_islands_by_area</x:v>
      </x:c>
      <x:c r="N9" s="15" t="str">
        <x:v>Provisional</x:v>
      </x:c>
      <x:c r="O9" s="15" t="str">
        <x:v>Yes</x:v>
      </x:c>
      <x:c r="P9" s="15" t="str">
        <x:v>One island spanning Haiti and the Dominican Republic</x:v>
      </x:c>
    </x:row>
    <x:row r="10" ht="36" hidden="0" customHeight="1">
      <x:c r="A10" s="11" t="str">
        <x:v>amer_grenada</x:v>
      </x:c>
      <x:c r="B10" s="14" t="str">
        <x:v>Grenada</x:v>
      </x:c>
      <x:c r="C10" s="12" t="n">
        <x:v>3</x:v>
      </x:c>
      <x:c r="D10" s="12" t="n">
        <x:v>310</x:v>
      </x:c>
      <x:c r="E10" s="13" t="n">
        <x:f>IFERROR(LN(C10),"")</x:f>
        <x:v>1.0986122886681096</x:v>
      </x:c>
      <x:c r="F10" s="13" t="n">
        <x:f>IFERROR(LN(D10),"")</x:f>
        <x:v>5.736572297479192</x:v>
      </x:c>
      <x:c r="G10" s="11" t="str">
        <x:v>Caribbean</x:v>
      </x:c>
      <x:c r="H10" s="11" t="str">
        <x:v>main island</x:v>
      </x:c>
      <x:c r="I10" s="11" t="str">
        <x:v>oceanic</x:v>
      </x:c>
      <x:c r="J10" s="15" t="str">
        <x:v>Derived from American species records</x:v>
      </x:c>
      <x:c r="K10" s="15" t="str">
        <x:v>Island-origin species only; introductions excluded</x:v>
      </x:c>
      <x:c r="L10" s="15" t="str">
        <x:v>Caribbean island-area compilation</x:v>
      </x:c>
      <x:c r="M10" s="15" t="str">
        <x:v>https://en.wikipedia.org/wiki/List_of_Caribbean_islands_by_area</x:v>
      </x:c>
      <x:c r="N10" s="15" t="str">
        <x:v>Provisional</x:v>
      </x:c>
      <x:c r="O10" s="15" t="str">
        <x:v>Review</x:v>
      </x:c>
      <x:c r="P10" s="15" t="str">
        <x:v>Source label may mean main island; government area 344 km2 includes Carriacou and Petite Martinique</x:v>
      </x:c>
    </x:row>
    <x:row r="11" ht="24" hidden="0" customHeight="1">
      <x:c r="A11" s="11" t="str">
        <x:v>amer_dominica</x:v>
      </x:c>
      <x:c r="B11" s="14" t="str">
        <x:v>Dominica</x:v>
      </x:c>
      <x:c r="C11" s="12" t="n">
        <x:v>3</x:v>
      </x:c>
      <x:c r="D11" s="12" t="n">
        <x:v>751</x:v>
      </x:c>
      <x:c r="E11" s="13" t="n">
        <x:f>IFERROR(LN(C11),"")</x:f>
        <x:v>1.0986122886681096</x:v>
      </x:c>
      <x:c r="F11" s="13" t="n">
        <x:f>IFERROR(LN(D11),"")</x:f>
        <x:v>6.621405651764134</x:v>
      </x:c>
      <x:c r="G11" s="11" t="str">
        <x:v>Caribbean</x:v>
      </x:c>
      <x:c r="H11" s="11" t="str">
        <x:v>island</x:v>
      </x:c>
      <x:c r="I11" s="11" t="str">
        <x:v>oceanic</x:v>
      </x:c>
      <x:c r="J11" s="15" t="str">
        <x:v>Derived from American species records</x:v>
      </x:c>
      <x:c r="K11" s="15" t="str">
        <x:v>Island-origin species only; introductions excluded</x:v>
      </x:c>
      <x:c r="L11" s="15" t="str">
        <x:v>Government of Dominica</x:v>
      </x:c>
      <x:c r="M11" s="15" t="str">
        <x:v>https://www.dominica.gov.dm/about-dominica/country-profile</x:v>
      </x:c>
      <x:c r="N11" s="15" t="str">
        <x:v>Matched</x:v>
      </x:c>
      <x:c r="O11" s="15" t="str">
        <x:v>Yes</x:v>
      </x:c>
      <x:c r="P11" s="15" t="str"/>
    </x:row>
    <x:row r="12" ht="24" hidden="0" customHeight="1">
      <x:c r="A12" s="11" t="str">
        <x:v>amer_saint_lucia</x:v>
      </x:c>
      <x:c r="B12" s="14" t="str">
        <x:v>Saint Lucia</x:v>
      </x:c>
      <x:c r="C12" s="12" t="n">
        <x:v>2</x:v>
      </x:c>
      <x:c r="D12" s="12" t="n">
        <x:v>616</x:v>
      </x:c>
      <x:c r="E12" s="13" t="n">
        <x:f>IFERROR(LN(C12),"")</x:f>
        <x:v>0.6931471805599453</x:v>
      </x:c>
      <x:c r="F12" s="13" t="n">
        <x:f>IFERROR(LN(D12),"")</x:f>
        <x:v>6.423246963533519</x:v>
      </x:c>
      <x:c r="G12" s="11" t="str">
        <x:v>Caribbean</x:v>
      </x:c>
      <x:c r="H12" s="11" t="str">
        <x:v>island</x:v>
      </x:c>
      <x:c r="I12" s="11" t="str">
        <x:v>oceanic</x:v>
      </x:c>
      <x:c r="J12" s="15" t="str">
        <x:v>Derived from American species records</x:v>
      </x:c>
      <x:c r="K12" s="15" t="str">
        <x:v>Island-origin species only; introductions excluded</x:v>
      </x:c>
      <x:c r="L12" s="15" t="str">
        <x:v>Government of Saint Lucia</x:v>
      </x:c>
      <x:c r="M12" s="15" t="str">
        <x:v>https://www.govt.lc/news/agricultural-land-preservation-of-national-concern</x:v>
      </x:c>
      <x:c r="N12" s="15" t="str">
        <x:v>Matched</x:v>
      </x:c>
      <x:c r="O12" s="15" t="str">
        <x:v>Yes</x:v>
      </x:c>
      <x:c r="P12" s="15" t="str">
        <x:v>Source workbook label standardized from St. Lucia</x:v>
      </x:c>
    </x:row>
    <x:row r="13" ht="48" hidden="0" customHeight="1">
      <x:c r="A13" s="11" t="str">
        <x:v>amer_guadeloupe</x:v>
      </x:c>
      <x:c r="B13" s="14" t="str">
        <x:v>Guadeloupe</x:v>
      </x:c>
      <x:c r="C13" s="12" t="n">
        <x:v>2</x:v>
      </x:c>
      <x:c r="D13" s="12" t="n">
        <x:v>1628</x:v>
      </x:c>
      <x:c r="E13" s="13" t="n">
        <x:f>IFERROR(LN(C13),"")</x:f>
        <x:v>0.6931471805599453</x:v>
      </x:c>
      <x:c r="F13" s="13" t="n">
        <x:f>IFERROR(LN(D13),"")</x:f>
        <x:v>7.395107546562485</x:v>
      </x:c>
      <x:c r="G13" s="11" t="str">
        <x:v>Caribbean</x:v>
      </x:c>
      <x:c r="H13" s="11" t="str">
        <x:v>archipelago</x:v>
      </x:c>
      <x:c r="I13" s="11" t="str">
        <x:v>oceanic</x:v>
      </x:c>
      <x:c r="J13" s="15" t="str">
        <x:v>Derived from American species records</x:v>
      </x:c>
      <x:c r="K13" s="15" t="str">
        <x:v>Island-origin species only; introductions excluded</x:v>
      </x:c>
      <x:c r="L13" s="15" t="str">
        <x:v>French state services in Guadeloupe</x:v>
      </x:c>
      <x:c r="M13" s="15" t="str">
        <x:v>https://www.guadeloupe.gouv.fr/contenu/telechargement/28092/205801/file/Rapport_Diagnostic%20territorial%20de%20la%20mobilit%C3%A9%20solidaire.pdf</x:v>
      </x:c>
      <x:c r="N13" s="15" t="str">
        <x:v>Review</x:v>
      </x:c>
      <x:c r="O13" s="15" t="str">
        <x:v>Review</x:v>
      </x:c>
      <x:c r="P13" s="15" t="str">
        <x:v>Area covers five-island archipelago; confirm richness has same extent</x:v>
      </x:c>
    </x:row>
    <x:row r="14" ht="48" hidden="0" customHeight="1">
      <x:c r="A14" s="11" t="str">
        <x:v>amer_martinique</x:v>
      </x:c>
      <x:c r="B14" s="14" t="str">
        <x:v>Martinique</x:v>
      </x:c>
      <x:c r="C14" s="12" t="n">
        <x:v>2</x:v>
      </x:c>
      <x:c r="D14" s="12" t="n">
        <x:v>1128</x:v>
      </x:c>
      <x:c r="E14" s="13" t="n">
        <x:f>IFERROR(LN(C14),"")</x:f>
        <x:v>0.6931471805599453</x:v>
      </x:c>
      <x:c r="F14" s="13" t="n">
        <x:f>IFERROR(LN(D14),"")</x:f>
        <x:v>7.028201432058005</x:v>
      </x:c>
      <x:c r="G14" s="11" t="str">
        <x:v>Caribbean</x:v>
      </x:c>
      <x:c r="H14" s="11" t="str">
        <x:v>island</x:v>
      </x:c>
      <x:c r="I14" s="11" t="str">
        <x:v>oceanic</x:v>
      </x:c>
      <x:c r="J14" s="15" t="str">
        <x:v>Derived from American species records</x:v>
      </x:c>
      <x:c r="K14" s="15" t="str">
        <x:v>Island-origin species only; introductions excluded</x:v>
      </x:c>
      <x:c r="L14" s="15" t="str">
        <x:v>French Ministry report</x:v>
      </x:c>
      <x:c r="M14" s="15" t="str">
        <x:v>https://www.guadeloupe.gouv.fr/contenu/telechargement/15090/99518/file/CGEDD-IGA-CGAAER%2Brapport%2BEAU-DOM%2BDEFINITIF.pdf</x:v>
      </x:c>
      <x:c r="N14" s="15" t="str">
        <x:v>Matched</x:v>
      </x:c>
      <x:c r="O14" s="15" t="str">
        <x:v>Yes</x:v>
      </x:c>
      <x:c r="P14" s="15" t="str"/>
    </x:row>
    <x:row r="15" ht="24" hidden="0" customHeight="1">
      <x:c r="A15" s="11" t="str">
        <x:v>amer_gonave</x:v>
      </x:c>
      <x:c r="B15" s="14" t="str">
        <x:v>Gonave</x:v>
      </x:c>
      <x:c r="C15" s="12" t="n">
        <x:v>1</x:v>
      </x:c>
      <x:c r="D15" s="12" t="n">
        <x:v>743</x:v>
      </x:c>
      <x:c r="E15" s="13" t="n">
        <x:f>IFERROR(LN(C15),"")</x:f>
        <x:v>0</x:v>
      </x:c>
      <x:c r="F15" s="13" t="n">
        <x:f>IFERROR(LN(D15),"")</x:f>
        <x:v>6.610696044717759</x:v>
      </x:c>
      <x:c r="G15" s="11" t="str">
        <x:v>Caribbean</x:v>
      </x:c>
      <x:c r="H15" s="11" t="str">
        <x:v>island</x:v>
      </x:c>
      <x:c r="I15" s="11" t="str">
        <x:v>oceanic</x:v>
      </x:c>
      <x:c r="J15" s="15" t="str">
        <x:v>Derived from American species records</x:v>
      </x:c>
      <x:c r="K15" s="15" t="str">
        <x:v>Island-origin species only; introductions excluded</x:v>
      </x:c>
      <x:c r="L15" s="15" t="str">
        <x:v>Caribbean island-area compilation</x:v>
      </x:c>
      <x:c r="M15" s="15" t="str">
        <x:v>https://en.wikipedia.org/wiki/List_of_Caribbean_islands_by_area</x:v>
      </x:c>
      <x:c r="N15" s="15" t="str">
        <x:v>Provisional</x:v>
      </x:c>
      <x:c r="O15" s="15" t="str">
        <x:v>Yes</x:v>
      </x:c>
      <x:c r="P15" s="15" t="str">
        <x:v>Source workbook label Gonaive standardized to Gonave</x:v>
      </x:c>
    </x:row>
    <x:row r="16" ht="24" hidden="0" customHeight="1">
      <x:c r="A16" s="11" t="str">
        <x:v>amer_lesser_unspecified</x:v>
      </x:c>
      <x:c r="B16" s="14" t="str">
        <x:v>Lesser Antilles (unspecified)</x:v>
      </x:c>
      <x:c r="C16" s="12" t="n">
        <x:v>1</x:v>
      </x:c>
      <x:c r="D16" s="12"/>
      <x:c r="E16" s="13" t="n">
        <x:f>IFERROR(LN(C16),"")</x:f>
        <x:v>0</x:v>
      </x:c>
      <x:c r="F16" s="13" t="str">
        <x:f>IFERROR(LN(D16),"")</x:f>
      </x:c>
      <x:c r="G16" s="11" t="str">
        <x:v>Caribbean</x:v>
      </x:c>
      <x:c r="H16" s="11" t="str">
        <x:v>multiple possible islands</x:v>
      </x:c>
      <x:c r="I16" s="11" t="str">
        <x:v>unknown</x:v>
      </x:c>
      <x:c r="J16" s="15" t="str">
        <x:v>Derived from American species records</x:v>
      </x:c>
      <x:c r="K16" s="15" t="str">
        <x:v>Ambiguous record; see source observation</x:v>
      </x:c>
      <x:c r="L16" s="15" t="str">
        <x:v>Not assigned</x:v>
      </x:c>
      <x:c r="M16" s="15" t="str"/>
      <x:c r="N16" s="15" t="str">
        <x:v>Unmatched</x:v>
      </x:c>
      <x:c r="O16" s="15" t="str">
        <x:v>No</x:v>
      </x:c>
      <x:c r="P16" s="15" t="str">
        <x:v>One species lists many possible islands; do not assign to a single area</x:v>
      </x:c>
    </x:row>
    <x:row r="17" ht="36" hidden="0" customHeight="1">
      <x:c r="A17" s="11" t="str">
        <x:v>add_australia</x:v>
      </x:c>
      <x:c r="B17" s="14" t="str">
        <x:v>Australia</x:v>
      </x:c>
      <x:c r="C17" s="12" t="n">
        <x:v>481</x:v>
      </x:c>
      <x:c r="D17" s="12" t="n">
        <x:v>7692024</x:v>
      </x:c>
      <x:c r="E17" s="13" t="n">
        <x:f>IFERROR(LN(C17),"")</x:f>
        <x:v>6.175867270105761</x:v>
      </x:c>
      <x:c r="F17" s="13" t="n">
        <x:f>IFERROR(LN(D17),"")</x:f>
        <x:v>15.855694505810744</x:v>
      </x:c>
      <x:c r="G17" s="11" t="str">
        <x:v>Australasia</x:v>
      </x:c>
      <x:c r="H17" s="11" t="str">
        <x:v>country / continent</x:v>
      </x:c>
      <x:c r="I17" s="11" t="str">
        <x:v>continental</x:v>
      </x:c>
      <x:c r="J17" s="15" t="str">
        <x:v>User-supplied richness</x:v>
      </x:c>
      <x:c r="K17" s="15" t="str">
        <x:v>Definition and introduced/native treatment to confirm</x:v>
      </x:c>
      <x:c r="L17" s="15" t="str">
        <x:v>Australian Bureau of Statistics</x:v>
      </x:c>
      <x:c r="M17" s="15" t="str">
        <x:v>https://www.abs.gov.au/AUSSTATS/abs%40.nsf/0/047D4BA4016F7A0BCA25773700169C25</x:v>
      </x:c>
      <x:c r="N17" s="15" t="str">
        <x:v>Matched</x:v>
      </x:c>
      <x:c r="O17" s="15" t="str">
        <x:v>Review</x:v>
      </x:c>
      <x:c r="P17" s="15" t="str">
        <x:v>Includes islands; major leverage point and not an oceanic island</x:v>
      </x:c>
    </x:row>
    <x:row r="18" ht="36" hidden="0" customHeight="1">
      <x:c r="A18" s="11" t="str">
        <x:v>add_new_zealand</x:v>
      </x:c>
      <x:c r="B18" s="14" t="str">
        <x:v>New Zealand</x:v>
      </x:c>
      <x:c r="C18" s="12" t="n">
        <x:v>18</x:v>
      </x:c>
      <x:c r="D18" s="12" t="n">
        <x:v>267707</x:v>
      </x:c>
      <x:c r="E18" s="13" t="n">
        <x:f>IFERROR(LN(C18),"")</x:f>
        <x:v>2.8903717578961645</x:v>
      </x:c>
      <x:c r="F18" s="13" t="n">
        <x:f>IFERROR(LN(D18),"")</x:f>
        <x:v>12.497648377840463</x:v>
      </x:c>
      <x:c r="G18" s="11" t="str">
        <x:v>Australasia</x:v>
      </x:c>
      <x:c r="H18" s="11" t="str">
        <x:v>archipelago / country</x:v>
      </x:c>
      <x:c r="I18" s="11" t="str">
        <x:v>continental-fragment</x:v>
      </x:c>
      <x:c r="J18" s="15" t="str">
        <x:v>User-supplied richness</x:v>
      </x:c>
      <x:c r="K18" s="15" t="str">
        <x:v>Definition and introduced/native treatment to confirm</x:v>
      </x:c>
      <x:c r="L18" s="15" t="str">
        <x:v>Stats NZ official yearbook</x:v>
      </x:c>
      <x:c r="M18" s="15" t="str">
        <x:v>https://www3.stats.govt.nz/new_zealand_official_yearbooks/nz_official_yrbk_2010.pdf.pdf</x:v>
      </x:c>
      <x:c r="N18" s="15" t="str">
        <x:v>Matched</x:v>
      </x:c>
      <x:c r="O18" s="15" t="str">
        <x:v>Review</x:v>
      </x:c>
      <x:c r="P18" s="15" t="str">
        <x:v>Includes main and offshore islands; confirm richness extent</x:v>
      </x:c>
    </x:row>
    <x:row r="19" ht="36" hidden="0" customHeight="1">
      <x:c r="A19" s="11" t="str">
        <x:v>add_new_caledonia</x:v>
      </x:c>
      <x:c r="B19" s="14" t="str">
        <x:v>New Caledonia</x:v>
      </x:c>
      <x:c r="C19" s="12" t="n">
        <x:v>49</x:v>
      </x:c>
      <x:c r="D19" s="12" t="n">
        <x:v>18576</x:v>
      </x:c>
      <x:c r="E19" s="13" t="n">
        <x:f>IFERROR(LN(C19),"")</x:f>
        <x:v>3.8918202981106265</x:v>
      </x:c>
      <x:c r="F19" s="13" t="n">
        <x:f>IFERROR(LN(D19),"")</x:f>
        <x:v>9.829625703937673</x:v>
      </x:c>
      <x:c r="G19" s="11" t="str">
        <x:v>Melanesia</x:v>
      </x:c>
      <x:c r="H19" s="11" t="str">
        <x:v>archipelago</x:v>
      </x:c>
      <x:c r="I19" s="11" t="str">
        <x:v>continental-fragment</x:v>
      </x:c>
      <x:c r="J19" s="15" t="str">
        <x:v>User-supplied richness</x:v>
      </x:c>
      <x:c r="K19" s="15" t="str">
        <x:v>Definition and introduced/native treatment to confirm</x:v>
      </x:c>
      <x:c r="L19" s="15" t="str">
        <x:v>ISEE New Caledonia</x:v>
      </x:c>
      <x:c r="M19" s="15" t="str">
        <x:v>https://www.isee.nc/phocadownload/non_theme/publications/toutes_publications/Depliant/Depliant/NCenBref2010.pdf</x:v>
      </x:c>
      <x:c r="N19" s="15" t="str">
        <x:v>Matched</x:v>
      </x:c>
      <x:c r="O19" s="15" t="str">
        <x:v>Review</x:v>
      </x:c>
      <x:c r="P19" s="15" t="str">
        <x:v>Archipelago area; confirm richness extent</x:v>
      </x:c>
    </x:row>
    <x:row r="20" ht="36" hidden="0" customHeight="1">
      <x:c r="A20" s="11" t="str">
        <x:v>add_new_guinea</x:v>
      </x:c>
      <x:c r="B20" s="14" t="str">
        <x:v>New Guinea</x:v>
      </x:c>
      <x:c r="C20" s="12" t="n">
        <x:v>173</x:v>
      </x:c>
      <x:c r="D20" s="12" t="n">
        <x:v>775000</x:v>
      </x:c>
      <x:c r="E20" s="13" t="n">
        <x:f>IFERROR(LN(C20),"")</x:f>
        <x:v>5.153291594497779</x:v>
      </x:c>
      <x:c r="F20" s="13" t="n">
        <x:f>IFERROR(LN(D20),"")</x:f>
        <x:v>13.560618308335483</x:v>
      </x:c>
      <x:c r="G20" s="11" t="str">
        <x:v>Melanesia</x:v>
      </x:c>
      <x:c r="H20" s="11" t="str">
        <x:v>island</x:v>
      </x:c>
      <x:c r="I20" s="11" t="str">
        <x:v>continental</x:v>
      </x:c>
      <x:c r="J20" s="15" t="str">
        <x:v>User-supplied richness</x:v>
      </x:c>
      <x:c r="K20" s="15" t="str">
        <x:v>Definition and introduced/native treatment to confirm</x:v>
      </x:c>
      <x:c r="L20" s="15" t="str">
        <x:v>FAO country report</x:v>
      </x:c>
      <x:c r="M20" s="15" t="str">
        <x:v>https://www.fao.org/fileadmin/templates/agphome/documents/PGR/SoW1/asia/PAPUANEW.pdf</x:v>
      </x:c>
      <x:c r="N20" s="15" t="str">
        <x:v>Approximate</x:v>
      </x:c>
      <x:c r="O20" s="15" t="str">
        <x:v>Review</x:v>
      </x:c>
      <x:c r="P20" s="15" t="str">
        <x:v>Whole island, not Papua New Guinea country; source gives around 775,000 km2</x:v>
      </x:c>
    </x:row>
    <x:row r="21" ht="36" hidden="0" customHeight="1">
      <x:c r="A21" s="11" t="str">
        <x:v>add_madagascar</x:v>
      </x:c>
      <x:c r="B21" s="14" t="str">
        <x:v>Madagascar</x:v>
      </x:c>
      <x:c r="C21" s="12" t="n">
        <x:v>280</x:v>
      </x:c>
      <x:c r="D21" s="12" t="n">
        <x:v>587041</x:v>
      </x:c>
      <x:c r="E21" s="13" t="n">
        <x:f>IFERROR(LN(C21),"")</x:f>
        <x:v>5.634789603169249</x:v>
      </x:c>
      <x:c r="F21" s="13" t="n">
        <x:f>IFERROR(LN(D21),"")</x:f>
        <x:v>13.282849943049092</x:v>
      </x:c>
      <x:c r="G21" s="11" t="str">
        <x:v>Indian Ocean</x:v>
      </x:c>
      <x:c r="H21" s="11" t="str">
        <x:v>island</x:v>
      </x:c>
      <x:c r="I21" s="11" t="str">
        <x:v>continental-fragment</x:v>
      </x:c>
      <x:c r="J21" s="15" t="str">
        <x:v>User-supplied richness</x:v>
      </x:c>
      <x:c r="K21" s="15" t="str">
        <x:v>Definition and introduced/native treatment to confirm</x:v>
      </x:c>
      <x:c r="L21" s="15" t="str">
        <x:v>INSTAT Madagascar</x:v>
      </x:c>
      <x:c r="M21" s="15" t="str">
        <x:v>https://www.instat.mg/documents/upload/main/INSTAT_EPCR-2019_24-08-2019.pdf</x:v>
      </x:c>
      <x:c r="N21" s="15" t="str">
        <x:v>Matched</x:v>
      </x:c>
      <x:c r="O21" s="15" t="str">
        <x:v>Review</x:v>
      </x:c>
      <x:c r="P21" s="15" t="str">
        <x:v>Large continental-fragment island; major leverage point</x:v>
      </x:c>
    </x:row>
    <x:row r="22" ht="24" hidden="0" customHeight="1">
      <x:c r="A22" s="11" t="str">
        <x:v>add_reunion</x:v>
      </x:c>
      <x:c r="B22" s="14" t="str">
        <x:v>Reunion</x:v>
      </x:c>
      <x:c r="C22" s="12" t="n">
        <x:v>1</x:v>
      </x:c>
      <x:c r="D22" s="12" t="n">
        <x:v>2512</x:v>
      </x:c>
      <x:c r="E22" s="13" t="n">
        <x:f>IFERROR(LN(C22),"")</x:f>
        <x:v>0</x:v>
      </x:c>
      <x:c r="F22" s="13" t="n">
        <x:f>IFERROR(LN(D22),"")</x:f>
        <x:v>7.828834527588089</x:v>
      </x:c>
      <x:c r="G22" s="11" t="str">
        <x:v>Indian Ocean</x:v>
      </x:c>
      <x:c r="H22" s="11" t="str">
        <x:v>island</x:v>
      </x:c>
      <x:c r="I22" s="11" t="str">
        <x:v>oceanic</x:v>
      </x:c>
      <x:c r="J22" s="15" t="str">
        <x:v>User-supplied richness</x:v>
      </x:c>
      <x:c r="K22" s="15" t="str">
        <x:v>Definition and introduced/native treatment to confirm</x:v>
      </x:c>
      <x:c r="L22" s="15" t="str">
        <x:v>INSEE</x:v>
      </x:c>
      <x:c r="M22" s="15" t="str">
        <x:v>https://www.insee.fr/fr/statistiques/fichier/1378738/Tot_complet.pdf</x:v>
      </x:c>
      <x:c r="N22" s="15" t="str">
        <x:v>Matched</x:v>
      </x:c>
      <x:c r="O22" s="15" t="str">
        <x:v>Yes</x:v>
      </x:c>
      <x:c r="P22" s="15" t="str"/>
    </x:row>
    <x:row r="23" ht="24" hidden="0" customHeight="1">
      <x:c r="A23" s="11" t="str">
        <x:v>add_mauritius</x:v>
      </x:c>
      <x:c r="B23" s="14" t="str">
        <x:v>Mauritius</x:v>
      </x:c>
      <x:c r="C23" s="12" t="n">
        <x:v>5</x:v>
      </x:c>
      <x:c r="D23" s="12" t="n">
        <x:v>1864</x:v>
      </x:c>
      <x:c r="E23" s="13" t="n">
        <x:f>IFERROR(LN(C23),"")</x:f>
        <x:v>1.6094379124341003</x:v>
      </x:c>
      <x:c r="F23" s="13" t="n">
        <x:f>IFERROR(LN(D23),"")</x:f>
        <x:v>7.530479995245536</x:v>
      </x:c>
      <x:c r="G23" s="11" t="str">
        <x:v>Indian Ocean</x:v>
      </x:c>
      <x:c r="H23" s="11" t="str">
        <x:v>main island</x:v>
      </x:c>
      <x:c r="I23" s="11" t="str">
        <x:v>oceanic</x:v>
      </x:c>
      <x:c r="J23" s="15" t="str">
        <x:v>User-supplied richness</x:v>
      </x:c>
      <x:c r="K23" s="15" t="str">
        <x:v>Definition and introduced/native treatment to confirm</x:v>
      </x:c>
      <x:c r="L23" s="15" t="str">
        <x:v>Government of Mauritius</x:v>
      </x:c>
      <x:c r="M23" s="15" t="str">
        <x:v>https://www.govmu.org/EN/Pages/exploremauritius.aspx</x:v>
      </x:c>
      <x:c r="N23" s="15" t="str">
        <x:v>Matched</x:v>
      </x:c>
      <x:c r="O23" s="15" t="str">
        <x:v>Yes</x:v>
      </x:c>
      <x:c r="P23" s="15" t="str">
        <x:v>Main island, not Republic including Rodrigues and outer islands</x:v>
      </x:c>
    </x:row>
  </x:sheetData>
  <x:mergeCells>
    <x:mergeCell ref="A2:P2"/>
    <x:mergeCell ref="A3:P3"/>
  </x:mergeCells>
  <x:conditionalFormatting sqref="N6:O23">
    <x:cfRule type="containsText" dxfId="0" priority="1" operator="containsText" text="Review"/>
    <x:cfRule type="containsText" dxfId="1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2fca3faddd684d53"/>
  </x:tableParts>
</x:worksheet>
</file>

<file path=xl/worksheets/sheet2.xml><?xml version="1.0" encoding="utf-8"?>
<x:worksheet xmlns:x="http://schemas.openxmlformats.org/spreadsheetml/2006/main">
  <x:sheetPr>
    <x:tabColor rgb="FF8FB8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7.22000122070312" hidden="0" customWidth="1"/>
    <x:col min="2" max="2" width="39.88999938964844" hidden="0" customWidth="1"/>
    <x:col min="3" max="3" width="16.440000534057617" hidden="0" customWidth="1"/>
    <x:col min="4" max="4" width="22" hidden="0" customWidth="1"/>
    <x:col min="5" max="5" width="38" hidden="0" customWidth="1"/>
    <x:col min="6" max="6" width="38" hidden="0" customWidth="1"/>
    <x:col min="7" max="7" width="38" hidden="0" customWidth="1"/>
  </x:cols>
  <x:sheetData>
    <x:row r="2">
      <x:c r="A2" s="16" t="str">
        <x:v>American island species records (preserved source extract)</x:v>
      </x:c>
      <x:c r="B2" s="16"/>
      <x:c r="C2" s="16"/>
      <x:c r="D2" s="16"/>
      <x:c r="E2" s="16"/>
      <x:c r="F2" s="16"/>
      <x:c r="G2" s="16"/>
    </x:row>
    <x:row r="3">
      <x:c r="A3" s="2" t="str">
        <x:v>Copied from Scarabaeinae-Islands-Americas.xls, sheet derived. Regression counts use exact nonblank Island labels.</x:v>
      </x:c>
      <x:c r="B3" s="2"/>
      <x:c r="C3" s="2"/>
      <x:c r="D3" s="2"/>
      <x:c r="E3" s="2"/>
      <x:c r="F3" s="2"/>
      <x:c r="G3" s="2"/>
    </x:row>
    <x:row r="5" ht="15" hidden="0" customHeight="1">
      <x:c r="A5" s="18" t="str">
        <x:v>genus</x:v>
      </x:c>
      <x:c r="B5" s="18" t="str">
        <x:v>is genus present in the American Continent (native)?</x:v>
      </x:c>
      <x:c r="C5" s="18" t="str">
        <x:v>species</x:v>
      </x:c>
      <x:c r="D5" s="18" t="str">
        <x:v>Island</x:v>
      </x:c>
      <x:c r="E5" s="18" t="str">
        <x:v>obs</x:v>
      </x:c>
      <x:c r="F5" s="18" t="str">
        <x:v>ref</x:v>
      </x:c>
      <x:c r="G5" s="18" t="str">
        <x:v>(empty)</x:v>
      </x:c>
    </x:row>
    <x:row r="6" ht="15" hidden="0" customHeight="1">
      <x:c r="A6" s="3" t="str">
        <x:v>Anoplodrepanus</x:v>
      </x:c>
      <x:c r="B6" s="3" t="str">
        <x:v>no</x:v>
      </x:c>
      <x:c r="C6" s="3" t="str">
        <x:v>pecki</x:v>
      </x:c>
      <x:c r="D6" s="3" t="str">
        <x:v>Jamaica</x:v>
      </x:c>
      <x:c r="E6" s="19" t="str">
        <x:v>(empty)</x:v>
      </x:c>
      <x:c r="F6" s="19" t="str">
        <x:v>Howden, 1976 (as Drepanocerus)</x:v>
      </x:c>
      <x:c r="G6" s="19"/>
    </x:row>
    <x:row r="7" ht="15" hidden="0" customHeight="1">
      <x:c r="A7" s="3"/>
      <x:c r="B7" s="3"/>
      <x:c r="C7" s="3" t="str">
        <x:v>reconditus</x:v>
      </x:c>
      <x:c r="D7" s="3" t="str">
        <x:v>Jamaica</x:v>
      </x:c>
      <x:c r="E7" s="19" t="str">
        <x:v>(empty)</x:v>
      </x:c>
      <x:c r="F7" s="19" t="str">
        <x:v>Matthews 1966 as Drepanocerus</x:v>
      </x:c>
      <x:c r="G7" s="19"/>
    </x:row>
    <x:row r="8" ht="108" hidden="0" customHeight="1">
      <x:c r="A8" s="3" t="str">
        <x:v>Ateuchus</x:v>
      </x:c>
      <x:c r="B8" s="3" t="str">
        <x:v>yes</x:v>
      </x:c>
      <x:c r="C8" s="3" t="str">
        <x:v>illaesus</x:v>
      </x:c>
      <x:c r="D8" s="3" t="str">
        <x:v>Lesser (see obs)</x:v>
      </x:c>
      <x:c r="E8" s="19" t="str">
        <x:v>but according to Cupello 2022 unpublished thesis will be a synonym of calcaratus calcaratus, whose other subspecies is from the continent. unpublished, anyway. if Antillean it will be present in St. Kitts, Montserrat, Basse-Terre, Marie Galante (both Guadeloupe), Martinique, St. Lucia, St. Vincent, Bequia, Mustique, Canouan, Mayreau, Union, Cariacou (both Grenadines), Grenada. same ref puts continental specimens in another subspecies, so grey zone</x:v>
      </x:c>
      <x:c r="F8" s="19" t="str">
        <x:v>Matthews 1966</x:v>
      </x:c>
      <x:c r="G8" s="19"/>
    </x:row>
    <x:row r="9" ht="15" hidden="0" customHeight="1">
      <x:c r="A9" s="3"/>
      <x:c r="B9" s="3"/>
      <x:c r="C9" s="3" t="str">
        <x:v>luciae</x:v>
      </x:c>
      <x:c r="D9" s="3" t="str">
        <x:v>St. Lucia</x:v>
      </x:c>
      <x:c r="E9" s="19" t="str">
        <x:v>(empty)</x:v>
      </x:c>
      <x:c r="F9" s="19" t="str">
        <x:v>Matthews 1966</x:v>
      </x:c>
      <x:c r="G9" s="19"/>
    </x:row>
    <x:row r="10" ht="15" hidden="0" customHeight="1">
      <x:c r="A10" s="3" t="str">
        <x:v>Canthochilum</x:v>
      </x:c>
      <x:c r="B10" s="3" t="str">
        <x:v>no</x:v>
      </x:c>
      <x:c r="C10" s="3" t="str">
        <x:v>anacaona</x:v>
      </x:c>
      <x:c r="D10" s="3" t="str">
        <x:v>Cuba</x:v>
      </x:c>
      <x:c r="E10" s="19" t="str">
        <x:v>(empty)</x:v>
      </x:c>
      <x:c r="F10" s="19" t="str">
        <x:v>Matthews 1966</x:v>
      </x:c>
      <x:c r="G10" s="19"/>
    </x:row>
    <x:row r="11" ht="15" hidden="0" customHeight="1">
      <x:c r="A11" s="3"/>
      <x:c r="B11" s="3"/>
      <x:c r="C11" s="3" t="str">
        <x:v>andyi</x:v>
      </x:c>
      <x:c r="D11" s="3" t="str">
        <x:v>Puerto Rico</x:v>
      </x:c>
      <x:c r="E11" s="19" t="str">
        <x:v>(empty)</x:v>
      </x:c>
      <x:c r="F11" s="19" t="str">
        <x:v>Matthews 1966</x:v>
      </x:c>
      <x:c r="G11" s="19"/>
    </x:row>
    <x:row r="12" ht="15" hidden="0" customHeight="1">
      <x:c r="A12" s="3"/>
      <x:c r="B12" s="3"/>
      <x:c r="C12" s="3" t="str">
        <x:v>baracutey</x:v>
      </x:c>
      <x:c r="D12" s="3" t="str">
        <x:v>Cuba</x:v>
      </x:c>
      <x:c r="E12" s="19" t="str">
        <x:v>(empty)</x:v>
      </x:c>
      <x:c r="F12" s="19" t="str">
        <x:v>Matthews 1966</x:v>
      </x:c>
      <x:c r="G12" s="19"/>
    </x:row>
    <x:row r="13" ht="15" hidden="0" customHeight="1">
      <x:c r="A13" s="3"/>
      <x:c r="B13" s="3"/>
      <x:c r="C13" s="3" t="str">
        <x:v>borinquensis</x:v>
      </x:c>
      <x:c r="D13" s="3" t="str">
        <x:v>Puerto Rico</x:v>
      </x:c>
      <x:c r="E13" s="19" t="str">
        <x:v>(empty)</x:v>
      </x:c>
      <x:c r="F13" s="19" t="str">
        <x:v>Matthews 1966</x:v>
      </x:c>
      <x:c r="G13" s="19"/>
    </x:row>
    <x:row r="14" ht="15" hidden="0" customHeight="1">
      <x:c r="A14" s="3"/>
      <x:c r="B14" s="3"/>
      <x:c r="C14" s="3" t="str">
        <x:v>brodzinskyorum</x:v>
      </x:c>
      <x:c r="D14" s="3" t="str">
        <x:v>Hispaniola</x:v>
      </x:c>
      <x:c r="E14" s="19" t="str">
        <x:v>(empty)</x:v>
      </x:c>
      <x:c r="F14" s="19" t="str">
        <x:v>Philips &amp; Ivie 2008</x:v>
      </x:c>
      <x:c r="G14" s="19"/>
    </x:row>
    <x:row r="15" ht="15" hidden="0" customHeight="1">
      <x:c r="A15" s="3"/>
      <x:c r="B15" s="3"/>
      <x:c r="C15" s="3" t="str">
        <x:v>cemi</x:v>
      </x:c>
      <x:c r="D15" s="3" t="str">
        <x:v>Cuba</x:v>
      </x:c>
      <x:c r="E15" s="19" t="str">
        <x:v>(empty)</x:v>
      </x:c>
      <x:c r="F15" s="19" t="str">
        <x:v>Matthews 1966</x:v>
      </x:c>
      <x:c r="G15" s="19"/>
    </x:row>
    <x:row r="16" ht="15" hidden="0" customHeight="1">
      <x:c r="A16" s="3"/>
      <x:c r="B16" s="3"/>
      <x:c r="C16" s="3" t="str">
        <x:v>ciboney</x:v>
      </x:c>
      <x:c r="D16" s="3" t="str">
        <x:v>Hispaniola</x:v>
      </x:c>
      <x:c r="E16" s="19" t="str">
        <x:v>(empty)</x:v>
      </x:c>
      <x:c r="F16" s="19" t="str">
        <x:v>Matthews 1969</x:v>
      </x:c>
      <x:c r="G16" s="19"/>
    </x:row>
    <x:row r="17" ht="15" hidden="0" customHeight="1">
      <x:c r="A17" s="3"/>
      <x:c r="B17" s="3"/>
      <x:c r="C17" s="3" t="str">
        <x:v>darlingtoni</x:v>
      </x:c>
      <x:c r="D17" s="3" t="str">
        <x:v>Hispaniola</x:v>
      </x:c>
      <x:c r="E17" s="19" t="str">
        <x:v>(empty)</x:v>
      </x:c>
      <x:c r="F17" s="19" t="str">
        <x:v>Matthews 1969</x:v>
      </x:c>
      <x:c r="G17" s="19"/>
    </x:row>
    <x:row r="18" ht="15" hidden="0" customHeight="1">
      <x:c r="A18" s="3"/>
      <x:c r="B18" s="3"/>
      <x:c r="C18" s="3" t="str">
        <x:v>guayca</x:v>
      </x:c>
      <x:c r="D18" s="3" t="str">
        <x:v>Cuba</x:v>
      </x:c>
      <x:c r="E18" s="19" t="str">
        <x:v>(empty)</x:v>
      </x:c>
      <x:c r="F18" s="19" t="str">
        <x:v>Matthews 1966</x:v>
      </x:c>
      <x:c r="G18" s="19"/>
    </x:row>
    <x:row r="19" ht="15" hidden="0" customHeight="1">
      <x:c r="A19" s="3"/>
      <x:c r="B19" s="3"/>
      <x:c r="C19" s="3" t="str">
        <x:v>gundlachi</x:v>
      </x:c>
      <x:c r="D19" s="3" t="str">
        <x:v>Cuba</x:v>
      </x:c>
      <x:c r="E19" s="19" t="str">
        <x:v>(empty)</x:v>
      </x:c>
      <x:c r="F19" s="19" t="str">
        <x:v>Matthews 1966</x:v>
      </x:c>
      <x:c r="G19" s="19"/>
    </x:row>
    <x:row r="20" ht="15" hidden="0" customHeight="1">
      <x:c r="A20" s="3"/>
      <x:c r="B20" s="3"/>
      <x:c r="C20" s="3" t="str">
        <x:v>hispidum hispidum</x:v>
      </x:c>
      <x:c r="D20" s="3" t="str">
        <x:v>Puerto Rico</x:v>
      </x:c>
      <x:c r="E20" s="19" t="str">
        <x:v>(empty)</x:v>
      </x:c>
      <x:c r="F20" s="19" t="str">
        <x:v>Matthews 1966</x:v>
      </x:c>
      <x:c r="G20" s="19"/>
    </x:row>
    <x:row r="21" ht="15" hidden="0" customHeight="1">
      <x:c r="A21" s="3"/>
      <x:c r="B21" s="3"/>
      <x:c r="C21" s="3" t="str">
        <x:v>hispidum iunceanum</x:v>
      </x:c>
      <x:c r="D21" s="3" t="str">
        <x:v>Puerto Rico</x:v>
      </x:c>
      <x:c r="E21" s="19" t="str">
        <x:v>(empty)</x:v>
      </x:c>
      <x:c r="F21" s="19" t="str">
        <x:v>Matthews 1966</x:v>
      </x:c>
      <x:c r="G21" s="19"/>
    </x:row>
    <x:row r="22" ht="15" hidden="0" customHeight="1">
      <x:c r="A22" s="3"/>
      <x:c r="B22" s="3"/>
      <x:c r="C22" s="3" t="str">
        <x:v>hispidum serropunctae</x:v>
      </x:c>
      <x:c r="D22" s="3" t="str">
        <x:v>Puerto Rico</x:v>
      </x:c>
      <x:c r="E22" s="19" t="str">
        <x:v>(empty)</x:v>
      </x:c>
      <x:c r="F22" s="19" t="str">
        <x:v>Matthews 1966</x:v>
      </x:c>
      <x:c r="G22" s="19"/>
    </x:row>
    <x:row r="23" ht="15" hidden="0" customHeight="1">
      <x:c r="A23" s="3"/>
      <x:c r="B23" s="3"/>
      <x:c r="C23" s="3" t="str">
        <x:v>histeroides</x:v>
      </x:c>
      <x:c r="D23" s="3" t="str">
        <x:v>Cuba</x:v>
      </x:c>
      <x:c r="E23" s="19" t="str">
        <x:v>(empty)</x:v>
      </x:c>
      <x:c r="F23" s="19" t="str">
        <x:v>Matthews 1966</x:v>
      </x:c>
      <x:c r="G23" s="19"/>
    </x:row>
    <x:row r="24" ht="15" hidden="0" customHeight="1">
      <x:c r="A24" s="3"/>
      <x:c r="B24" s="3"/>
      <x:c r="C24" s="3" t="str">
        <x:v>magnum</x:v>
      </x:c>
      <x:c r="D24" s="3" t="str">
        <x:v>Hispaniola</x:v>
      </x:c>
      <x:c r="E24" s="19" t="str">
        <x:v>(empty)</x:v>
      </x:c>
      <x:c r="F24" s="19" t="str">
        <x:v>Philips &amp; Ivie 2008</x:v>
      </x:c>
      <x:c r="G24" s="19"/>
    </x:row>
    <x:row r="25" ht="15" hidden="0" customHeight="1">
      <x:c r="A25" s="3"/>
      <x:c r="B25" s="3"/>
      <x:c r="C25" s="3" t="str">
        <x:v>matthewsi</x:v>
      </x:c>
      <x:c r="D25" s="3" t="str">
        <x:v>Hispaniola</x:v>
      </x:c>
      <x:c r="E25" s="19" t="str">
        <x:v>(empty)</x:v>
      </x:c>
      <x:c r="F25" s="19" t="str">
        <x:v>Philips &amp; Ivie 2008</x:v>
      </x:c>
      <x:c r="G25" s="19"/>
    </x:row>
    <x:row r="26" ht="15" hidden="0" customHeight="1">
      <x:c r="A26" s="3"/>
      <x:c r="B26" s="3"/>
      <x:c r="C26" s="3" t="str">
        <x:v>mimicum</x:v>
      </x:c>
      <x:c r="D26" s="3" t="str">
        <x:v>Hispaniola</x:v>
      </x:c>
      <x:c r="E26" s="19" t="str">
        <x:v>(empty)</x:v>
      </x:c>
      <x:c r="F26" s="19" t="str">
        <x:v>Philips &amp; Ivie 2008</x:v>
      </x:c>
      <x:c r="G26" s="19"/>
    </x:row>
    <x:row r="27" ht="15" hidden="0" customHeight="1">
      <x:c r="A27" s="3"/>
      <x:c r="B27" s="3"/>
      <x:c r="C27" s="3" t="str">
        <x:v>nebulonemi</x:v>
      </x:c>
      <x:c r="D27" s="3" t="str">
        <x:v>Hispaniola</x:v>
      </x:c>
      <x:c r="E27" s="19" t="str">
        <x:v>(empty)</x:v>
      </x:c>
      <x:c r="F27" s="19" t="str">
        <x:v>Philips &amp; Ivie 2008</x:v>
      </x:c>
      <x:c r="G27" s="19"/>
    </x:row>
    <x:row r="28" ht="15" hidden="0" customHeight="1">
      <x:c r="A28" s="3"/>
      <x:c r="B28" s="3"/>
      <x:c r="C28" s="3" t="str">
        <x:v>oakleyi</x:v>
      </x:c>
      <x:c r="D28" s="3" t="str">
        <x:v>Puerto Rico</x:v>
      </x:c>
      <x:c r="E28" s="19" t="str">
        <x:v>(empty)</x:v>
      </x:c>
      <x:c r="F28" s="19" t="str">
        <x:v>Matthews 1966</x:v>
      </x:c>
      <x:c r="G28" s="19"/>
    </x:row>
    <x:row r="29" ht="15" hidden="0" customHeight="1">
      <x:c r="A29" s="3"/>
      <x:c r="B29" s="3"/>
      <x:c r="C29" s="3" t="str">
        <x:v>pijirigua</x:v>
      </x:c>
      <x:c r="D29" s="3" t="str">
        <x:v>Cuba</x:v>
      </x:c>
      <x:c r="E29" s="19" t="str">
        <x:v>(empty)</x:v>
      </x:c>
      <x:c r="F29" s="19" t="str">
        <x:v>Matthews 1966</x:v>
      </x:c>
      <x:c r="G29" s="19"/>
    </x:row>
    <x:row r="30" ht="15" hidden="0" customHeight="1">
      <x:c r="A30" s="3"/>
      <x:c r="B30" s="3"/>
      <x:c r="C30" s="3" t="str">
        <x:v>platycnemis</x:v>
      </x:c>
      <x:c r="D30" s="3" t="str">
        <x:v>Hispaniola</x:v>
      </x:c>
      <x:c r="E30" s="19" t="str">
        <x:v>(empty)</x:v>
      </x:c>
      <x:c r="F30" s="19" t="str">
        <x:v>Philips &amp; Ivie 2008</x:v>
      </x:c>
      <x:c r="G30" s="19"/>
    </x:row>
    <x:row r="31" ht="15" hidden="0" customHeight="1">
      <x:c r="A31" s="3"/>
      <x:c r="B31" s="3"/>
      <x:c r="C31" s="3" t="str">
        <x:v>taino</x:v>
      </x:c>
      <x:c r="D31" s="3" t="str">
        <x:v>Puerto Rico</x:v>
      </x:c>
      <x:c r="E31" s="19" t="str">
        <x:v>(empty)</x:v>
      </x:c>
      <x:c r="F31" s="19" t="str">
        <x:v>Matthews 1966</x:v>
      </x:c>
      <x:c r="G31" s="19"/>
    </x:row>
    <x:row r="32" ht="15" hidden="0" customHeight="1">
      <x:c r="A32" s="3"/>
      <x:c r="B32" s="3"/>
      <x:c r="C32" s="3"/>
      <x:c r="D32" s="3" t="str">
        <x:v>St. John</x:v>
      </x:c>
      <x:c r="E32" s="19" t="str">
        <x:v>(empty)</x:v>
      </x:c>
      <x:c r="F32" s="19" t="str">
        <x:v>Ivie &amp; Philips, 2008</x:v>
      </x:c>
      <x:c r="G32" s="19"/>
    </x:row>
    <x:row r="33" ht="15" hidden="0" customHeight="1">
      <x:c r="A33" s="3"/>
      <x:c r="B33" s="3"/>
      <x:c r="C33" s="3"/>
      <x:c r="D33" s="3" t="str">
        <x:v>Tortola</x:v>
      </x:c>
      <x:c r="E33" s="19" t="str">
        <x:v>(empty)</x:v>
      </x:c>
      <x:c r="F33" s="19" t="str">
        <x:v>Ivie &amp; Philips, 2008</x:v>
      </x:c>
      <x:c r="G33" s="19"/>
    </x:row>
    <x:row r="34" ht="15" hidden="0" customHeight="1">
      <x:c r="A34" s="3"/>
      <x:c r="B34" s="3"/>
      <x:c r="C34" s="3" t="str">
        <x:v>tureyra</x:v>
      </x:c>
      <x:c r="D34" s="3" t="str">
        <x:v>Cuba</x:v>
      </x:c>
      <x:c r="E34" s="19" t="str">
        <x:v>(empty)</x:v>
      </x:c>
      <x:c r="F34" s="19" t="str">
        <x:v>Matthews 1966</x:v>
      </x:c>
      <x:c r="G34" s="19"/>
    </x:row>
    <x:row r="35" ht="15" hidden="0" customHeight="1">
      <x:c r="A35" s="3"/>
      <x:c r="B35" s="3"/>
      <x:c r="C35" s="3" t="str">
        <x:v>xericum</x:v>
      </x:c>
      <x:c r="D35" s="3" t="str">
        <x:v>Hispaniola</x:v>
      </x:c>
      <x:c r="E35" s="19" t="str">
        <x:v>(empty)</x:v>
      </x:c>
      <x:c r="F35" s="19" t="str">
        <x:v>Philips &amp; Ivie 2008</x:v>
      </x:c>
      <x:c r="G35" s="19"/>
    </x:row>
    <x:row r="36" ht="15" hidden="0" customHeight="1">
      <x:c r="A36" s="3" t="str">
        <x:v>Canthon</x:v>
      </x:c>
      <x:c r="B36" s="3" t="str">
        <x:v>yes</x:v>
      </x:c>
      <x:c r="C36" s="3" t="str">
        <x:v>perseverans</x:v>
      </x:c>
      <x:c r="D36" s="3" t="str">
        <x:v>Grenada</x:v>
      </x:c>
      <x:c r="E36" s="19" t="str">
        <x:v>(empty)</x:v>
      </x:c>
      <x:c r="F36" s="19" t="str">
        <x:v>Matthews 1966</x:v>
      </x:c>
      <x:c r="G36" s="19"/>
    </x:row>
    <x:row r="37" ht="15" hidden="0" customHeight="1">
      <x:c r="A37" s="3" t="str">
        <x:v>Canthon (Nesocanthon)</x:v>
      </x:c>
      <x:c r="B37" s="3" t="str">
        <x:v>yes</x:v>
      </x:c>
      <x:c r="C37" s="3" t="str">
        <x:v>callosus</x:v>
      </x:c>
      <x:c r="D37" s="3" t="str">
        <x:v>Gonaïve</x:v>
      </x:c>
      <x:c r="E37" s="19" t="str">
        <x:v>subgenus endemic to Hispaniola</x:v>
      </x:c>
      <x:c r="F37" s="19" t="str">
        <x:v>Ivie &amp; Philips, 2008</x:v>
      </x:c>
      <x:c r="G37" s="19"/>
    </x:row>
    <x:row r="38" ht="15" hidden="0" customHeight="1">
      <x:c r="A38" s="3"/>
      <x:c r="B38" s="3"/>
      <x:c r="C38" s="3"/>
      <x:c r="D38" s="3" t="str">
        <x:v>Hispaniola</x:v>
      </x:c>
      <x:c r="E38" s="19" t="str">
        <x:v>subgenus endemic to Hispaniola</x:v>
      </x:c>
      <x:c r="F38" s="19" t="str">
        <x:v>Matthews 1966</x:v>
      </x:c>
      <x:c r="G38" s="19"/>
    </x:row>
    <x:row r="39" ht="15" hidden="0" customHeight="1">
      <x:c r="A39" s="3"/>
      <x:c r="B39" s="3"/>
      <x:c r="C39" s="3" t="str">
        <x:v>signifer</x:v>
      </x:c>
      <x:c r="D39" s="3" t="str">
        <x:v>Hispaniola</x:v>
      </x:c>
      <x:c r="E39" s="19" t="str">
        <x:v>subgenus endemic to Hispaniola</x:v>
      </x:c>
      <x:c r="F39" s="19" t="str">
        <x:v>Matthews 1966</x:v>
      </x:c>
      <x:c r="G39" s="19"/>
    </x:row>
    <x:row r="40" ht="15" hidden="0" customHeight="1">
      <x:c r="A40" s="3"/>
      <x:c r="B40" s="3"/>
      <x:c r="C40" s="3" t="str">
        <x:v>violaceus</x:v>
      </x:c>
      <x:c r="D40" s="3" t="str">
        <x:v>Hispaniola</x:v>
      </x:c>
      <x:c r="E40" s="19" t="str">
        <x:v>subgenus endemic to Hispaniola</x:v>
      </x:c>
      <x:c r="F40" s="19" t="str">
        <x:v>Matthews 1966</x:v>
      </x:c>
      <x:c r="G40" s="19"/>
    </x:row>
    <x:row r="41" ht="15" hidden="0" customHeight="1">
      <x:c r="A41" s="3" t="str">
        <x:v>Canthonella</x:v>
      </x:c>
      <x:c r="B41" s="3" t="str">
        <x:v>yes</x:v>
      </x:c>
      <x:c r="C41" s="3" t="str">
        <x:v>baorucensis</x:v>
      </x:c>
      <x:c r="D41" s="3" t="str">
        <x:v>Hispaniola</x:v>
      </x:c>
      <x:c r="E41" s="19" t="str">
        <x:v>(empty)</x:v>
      </x:c>
      <x:c r="F41" s="19" t="str">
        <x:v>Ivie &amp; Philips 1990</x:v>
      </x:c>
      <x:c r="G41" s="19"/>
    </x:row>
    <x:row r="42" ht="15" hidden="0" customHeight="1">
      <x:c r="A42" s="3"/>
      <x:c r="B42" s="3"/>
      <x:c r="C42" s="3" t="str">
        <x:v>constans</x:v>
      </x:c>
      <x:c r="D42" s="3" t="str">
        <x:v>Hispaniola</x:v>
      </x:c>
      <x:c r="E42" s="19" t="str">
        <x:v>(empty)</x:v>
      </x:c>
      <x:c r="F42" s="19" t="str">
        <x:v>Matthews 1966</x:v>
      </x:c>
      <x:c r="G42" s="19"/>
    </x:row>
    <x:row r="43" ht="15" hidden="0" customHeight="1">
      <x:c r="A43" s="3"/>
      <x:c r="B43" s="3"/>
      <x:c r="C43" s="3" t="str">
        <x:v>howdeni</x:v>
      </x:c>
      <x:c r="D43" s="3" t="str">
        <x:v>Hispaniola</x:v>
      </x:c>
      <x:c r="E43" s="19" t="str">
        <x:v>(empty)</x:v>
      </x:c>
      <x:c r="F43" s="19" t="str">
        <x:v>Ivie &amp; Philips 1990</x:v>
      </x:c>
      <x:c r="G43" s="19"/>
    </x:row>
    <x:row r="44" ht="15" hidden="0" customHeight="1">
      <x:c r="A44" s="3"/>
      <x:c r="B44" s="3"/>
      <x:c r="C44" s="3" t="str">
        <x:v>isabellae</x:v>
      </x:c>
      <x:c r="D44" s="3" t="str">
        <x:v>Hispaniola</x:v>
      </x:c>
      <x:c r="E44" s="19" t="str">
        <x:v>(empty)</x:v>
      </x:c>
      <x:c r="F44" s="19" t="str">
        <x:v>Matthews 1966</x:v>
      </x:c>
      <x:c r="G44" s="19"/>
    </x:row>
    <x:row r="45" ht="15" hidden="0" customHeight="1">
      <x:c r="A45" s="3"/>
      <x:c r="B45" s="3"/>
      <x:c r="C45" s="3" t="str">
        <x:v>jarmilae</x:v>
      </x:c>
      <x:c r="D45" s="3" t="str">
        <x:v>Hispaniola</x:v>
      </x:c>
      <x:c r="E45" s="19" t="str">
        <x:v>(empty)</x:v>
      </x:c>
      <x:c r="F45" s="19" t="str">
        <x:v>Ivie &amp; Philips, 2008</x:v>
      </x:c>
      <x:c r="G45" s="19"/>
    </x:row>
    <x:row r="46" ht="15" hidden="0" customHeight="1">
      <x:c r="A46" s="3"/>
      <x:c r="B46" s="3"/>
      <x:c r="C46" s="3" t="str">
        <x:v>parva luquillensis</x:v>
      </x:c>
      <x:c r="D46" s="3" t="str">
        <x:v>Puerto Rico</x:v>
      </x:c>
      <x:c r="E46" s="19" t="str">
        <x:v>(empty)</x:v>
      </x:c>
      <x:c r="F46" s="19" t="str">
        <x:v>Matthews 1966</x:v>
      </x:c>
      <x:c r="G46" s="19"/>
    </x:row>
    <x:row r="47" ht="15" hidden="0" customHeight="1">
      <x:c r="A47" s="3"/>
      <x:c r="B47" s="3"/>
      <x:c r="C47" s="3" t="str">
        <x:v>parva parva</x:v>
      </x:c>
      <x:c r="D47" s="3" t="str">
        <x:v>Puerto Rico</x:v>
      </x:c>
      <x:c r="E47" s="19" t="str">
        <x:v>(empty)</x:v>
      </x:c>
      <x:c r="F47" s="19" t="str">
        <x:v>Matthews 1966</x:v>
      </x:c>
      <x:c r="G47" s="19"/>
    </x:row>
    <x:row r="48" ht="15" hidden="0" customHeight="1">
      <x:c r="A48" s="3"/>
      <x:c r="B48" s="3"/>
      <x:c r="C48" s="3"/>
      <x:c r="D48" s="3" t="str">
        <x:v>St. Thomas</x:v>
      </x:c>
      <x:c r="E48" s="19" t="str">
        <x:v>(empty)</x:v>
      </x:c>
      <x:c r="F48" s="19" t="str">
        <x:v>Ivie &amp; Philips, 2008</x:v>
      </x:c>
      <x:c r="G48" s="19"/>
    </x:row>
    <x:row r="49" ht="15" hidden="0" customHeight="1">
      <x:c r="A49" s="3"/>
      <x:c r="B49" s="3"/>
      <x:c r="C49" s="3" t="str">
        <x:v>pygmaea</x:v>
      </x:c>
      <x:c r="D49" s="3" t="str">
        <x:v>Cuba</x:v>
      </x:c>
      <x:c r="E49" s="19" t="str">
        <x:v>(empty)</x:v>
      </x:c>
      <x:c r="F49" s="19" t="str">
        <x:v>Matthews 1966</x:v>
      </x:c>
      <x:c r="G49" s="19"/>
    </x:row>
    <x:row r="50" ht="15" hidden="0" customHeight="1">
      <x:c r="A50" s="3"/>
      <x:c r="B50" s="3"/>
      <x:c r="C50" s="3" t="str">
        <x:v>quesquaya</x:v>
      </x:c>
      <x:c r="D50" s="3" t="str">
        <x:v>Hispaniola</x:v>
      </x:c>
      <x:c r="E50" s="19" t="str">
        <x:v>(empty)</x:v>
      </x:c>
      <x:c r="F50" s="19" t="str">
        <x:v>Ivie &amp; Philips, 2008</x:v>
      </x:c>
      <x:c r="G50" s="19"/>
    </x:row>
    <x:row r="51" ht="15" hidden="0" customHeight="1">
      <x:c r="A51" s="3"/>
      <x:c r="B51" s="3"/>
      <x:c r="C51" s="3" t="str">
        <x:v>sikesi</x:v>
      </x:c>
      <x:c r="D51" s="3" t="str">
        <x:v>Hispaniola</x:v>
      </x:c>
      <x:c r="E51" s="19" t="str">
        <x:v>(empty)</x:v>
      </x:c>
      <x:c r="F51" s="19" t="str">
        <x:v>Ivie &amp; Philips, 2008</x:v>
      </x:c>
      <x:c r="G51" s="19"/>
    </x:row>
    <x:row r="52" ht="36" hidden="0" customHeight="1">
      <x:c r="A52" s="3" t="str">
        <x:v>Euoniticellus</x:v>
      </x:c>
      <x:c r="B52" s="3" t="str">
        <x:v>no</x:v>
      </x:c>
      <x:c r="C52" s="3" t="str">
        <x:v>cubiensis</x:v>
      </x:c>
      <x:c r="D52" s="3" t="str">
        <x:v>Cuba</x:v>
      </x:c>
      <x:c r="E52" s="19" t="str">
        <x:v>cubiensis reported from Florida probably as introduction, intermedius (African) introduced in the American continent</x:v>
      </x:c>
      <x:c r="F52" s="19" t="str">
        <x:v>Matthews 1966</x:v>
      </x:c>
      <x:c r="G52" s="19"/>
    </x:row>
    <x:row r="53" ht="36" hidden="0" customHeight="1">
      <x:c r="A53" s="3"/>
      <x:c r="B53" s="3"/>
      <x:c r="C53" s="3"/>
      <x:c r="D53" s="3" t="str">
        <x:v>Eleuthera</x:v>
      </x:c>
      <x:c r="E53" s="19" t="str">
        <x:v>cubiensis reported from Florida probably as introduction, intermedius (African) introduced in the American continent</x:v>
      </x:c>
      <x:c r="F53" s="19" t="str">
        <x:v>Ivie &amp; Philips, 2008</x:v>
      </x:c>
      <x:c r="G53" s="19"/>
    </x:row>
    <x:row r="54" ht="36" hidden="0" customHeight="1">
      <x:c r="A54" s="3"/>
      <x:c r="B54" s="3"/>
      <x:c r="C54" s="3"/>
      <x:c r="D54" s="3" t="str">
        <x:v>Jamaica</x:v>
      </x:c>
      <x:c r="E54" s="19" t="str">
        <x:v>cubiensis reported from Florida probably as introduction, intermedius (African) introduced in the American continent</x:v>
      </x:c>
      <x:c r="F54" s="19" t="str">
        <x:v>Matthews 1966</x:v>
      </x:c>
      <x:c r="G54" s="19"/>
    </x:row>
    <x:row r="55" ht="36" hidden="0" customHeight="1">
      <x:c r="A55" s="3"/>
      <x:c r="B55" s="3"/>
      <x:c r="C55" s="3"/>
      <x:c r="D55" s="3" t="str">
        <x:v>La Juventud</x:v>
      </x:c>
      <x:c r="E55" s="19" t="str">
        <x:v>cubiensis reported from Florida probably as introduction, intermedius (African) introduced in the American continent</x:v>
      </x:c>
      <x:c r="F55" s="19" t="str">
        <x:v>Ivie &amp; Philips, 2008</x:v>
      </x:c>
      <x:c r="G55" s="19"/>
    </x:row>
    <x:row r="56" ht="36" hidden="0" customHeight="1">
      <x:c r="A56" s="3"/>
      <x:c r="B56" s="3"/>
      <x:c r="C56" s="3"/>
      <x:c r="D56" s="3" t="str">
        <x:v>New Providence</x:v>
      </x:c>
      <x:c r="E56" s="19" t="str">
        <x:v>cubiensis reported from Florida probably as introduction, intermedius (African) introduced in the American continent</x:v>
      </x:c>
      <x:c r="F56" s="19" t="str">
        <x:v>Ivie &amp; Philips, 2008</x:v>
      </x:c>
      <x:c r="G56" s="19"/>
    </x:row>
    <x:row r="57" ht="15" hidden="0" customHeight="1">
      <x:c r="A57" s="3" t="str">
        <x:v>Onthophagus</x:v>
      </x:c>
      <x:c r="B57" s="3" t="str">
        <x:v>yes</x:v>
      </x:c>
      <x:c r="C57" s="3" t="str">
        <x:v>albicornis</x:v>
      </x:c>
      <x:c r="D57" s="3" t="str">
        <x:v>Hispaniola</x:v>
      </x:c>
      <x:c r="E57" s="19" t="str">
        <x:v>(empty)</x:v>
      </x:c>
      <x:c r="F57" s="19" t="str">
        <x:v>Matthews 1966, Ivie &amp; Philips, 2008</x:v>
      </x:c>
      <x:c r="G57" s="19"/>
    </x:row>
    <x:row r="58" ht="15" hidden="0" customHeight="1">
      <x:c r="A58" s="3"/>
      <x:c r="B58" s="3"/>
      <x:c r="C58" s="3" t="str">
        <x:v>antillarum</x:v>
      </x:c>
      <x:c r="D58" s="3" t="str">
        <x:v>Dominica</x:v>
      </x:c>
      <x:c r="E58" s="19" t="str">
        <x:v>(empty)</x:v>
      </x:c>
      <x:c r="F58" s="19" t="str">
        <x:v>Matthews 1966</x:v>
      </x:c>
      <x:c r="G58" s="19"/>
    </x:row>
    <x:row r="59" ht="15" hidden="0" customHeight="1">
      <x:c r="A59" s="3"/>
      <x:c r="B59" s="3"/>
      <x:c r="C59" s="3"/>
      <x:c r="D59" s="3" t="str">
        <x:v>Grenada</x:v>
      </x:c>
      <x:c r="E59" s="19" t="str">
        <x:v>(empty)</x:v>
      </x:c>
      <x:c r="F59" s="19" t="str">
        <x:v>Matthews 1966</x:v>
      </x:c>
      <x:c r="G59" s="19"/>
    </x:row>
    <x:row r="60" ht="15" hidden="0" customHeight="1">
      <x:c r="A60" s="3"/>
      <x:c r="B60" s="3"/>
      <x:c r="C60" s="3"/>
      <x:c r="D60" s="3" t="str">
        <x:v>Grenadines</x:v>
      </x:c>
      <x:c r="E60" s="19" t="str">
        <x:v>(empty)</x:v>
      </x:c>
      <x:c r="F60" s="19" t="str">
        <x:v>Matthews 1966</x:v>
      </x:c>
      <x:c r="G60" s="19"/>
    </x:row>
    <x:row r="61" ht="15" hidden="0" customHeight="1">
      <x:c r="A61" s="3"/>
      <x:c r="B61" s="3"/>
      <x:c r="C61" s="3"/>
      <x:c r="D61" s="3" t="str">
        <x:v>Guadeloupe</x:v>
      </x:c>
      <x:c r="E61" s="19" t="str">
        <x:v>(empty)</x:v>
      </x:c>
      <x:c r="F61" s="19" t="str">
        <x:v>Matthews 1966</x:v>
      </x:c>
      <x:c r="G61" s="19"/>
    </x:row>
    <x:row r="62" ht="15" hidden="0" customHeight="1">
      <x:c r="A62" s="3"/>
      <x:c r="B62" s="3"/>
      <x:c r="C62" s="3"/>
      <x:c r="D62" s="3" t="str">
        <x:v>Martinique</x:v>
      </x:c>
      <x:c r="E62" s="19" t="str">
        <x:v>(empty)</x:v>
      </x:c>
      <x:c r="F62" s="19" t="str">
        <x:v>Matthews 1966</x:v>
      </x:c>
      <x:c r="G62" s="19"/>
    </x:row>
    <x:row r="63" ht="15" hidden="0" customHeight="1">
      <x:c r="A63" s="3"/>
      <x:c r="B63" s="3"/>
      <x:c r="C63" s="3"/>
      <x:c r="D63" s="3" t="str">
        <x:v>St. Vincent</x:v>
      </x:c>
      <x:c r="E63" s="19" t="str">
        <x:v>(empty)</x:v>
      </x:c>
      <x:c r="F63" s="19" t="str">
        <x:v>Matthews 1966</x:v>
      </x:c>
      <x:c r="G63" s="19"/>
    </x:row>
    <x:row r="64" ht="15" hidden="0" customHeight="1">
      <x:c r="A64" s="3"/>
      <x:c r="B64" s="3"/>
      <x:c r="C64" s="3" t="str">
        <x:v>capitatus</x:v>
      </x:c>
      <x:c r="D64" s="3" t="str">
        <x:v>Hispaniola</x:v>
      </x:c>
      <x:c r="E64" s="19" t="str">
        <x:v>(empty)</x:v>
      </x:c>
      <x:c r="F64" s="19" t="str">
        <x:v>Matthews 1966, Ivie &amp; Philips, 2008</x:v>
      </x:c>
      <x:c r="G64" s="19"/>
    </x:row>
    <x:row r="65" ht="15" hidden="0" customHeight="1">
      <x:c r="A65" s="3"/>
      <x:c r="B65" s="3"/>
      <x:c r="C65" s="3" t="str">
        <x:v>fragosus</x:v>
      </x:c>
      <x:c r="D65" s="3" t="str">
        <x:v>Cuba</x:v>
      </x:c>
      <x:c r="E65" s="19" t="str">
        <x:v>(empty)</x:v>
      </x:c>
      <x:c r="F65" s="19" t="str">
        <x:v>Génier &amp; Howden, 2014</x:v>
      </x:c>
      <x:c r="G65" s="19"/>
    </x:row>
    <x:row r="66" ht="15" hidden="0" customHeight="1">
      <x:c r="A66" s="3"/>
      <x:c r="B66" s="3"/>
      <x:c r="C66" s="3" t="str">
        <x:v>marginatus</x:v>
      </x:c>
      <x:c r="D66" s="3" t="str">
        <x:v>Cuba</x:v>
      </x:c>
      <x:c r="E66" s="19" t="str">
        <x:v>(empty)</x:v>
      </x:c>
      <x:c r="F66" s="19" t="str">
        <x:v>Matthews 1966</x:v>
      </x:c>
      <x:c r="G66" s="19"/>
    </x:row>
    <x:row r="67" ht="15" hidden="0" customHeight="1">
      <x:c r="A67" s="3" t="str">
        <x:v>Pseudocanthon</x:v>
      </x:c>
      <x:c r="B67" s="3" t="str">
        <x:v>yes</x:v>
      </x:c>
      <x:c r="C67" s="3" t="str">
        <x:v>caeranus</x:v>
      </x:c>
      <x:c r="D67" s="3" t="str">
        <x:v>Dominica</x:v>
      </x:c>
      <x:c r="E67" s="19" t="str">
        <x:v>(empty)</x:v>
      </x:c>
      <x:c r="F67" s="19" t="str">
        <x:v>Matthews 1966</x:v>
      </x:c>
      <x:c r="G67" s="19"/>
    </x:row>
    <x:row r="68" ht="15" hidden="0" customHeight="1">
      <x:c r="A68" s="3"/>
      <x:c r="B68" s="3"/>
      <x:c r="C68" s="3"/>
      <x:c r="D68" s="3" t="str">
        <x:v>Martinique</x:v>
      </x:c>
      <x:c r="E68" s="19" t="str">
        <x:v>(empty)</x:v>
      </x:c>
      <x:c r="F68" s="19" t="str">
        <x:v>Boilly, 2012</x:v>
      </x:c>
      <x:c r="G68" s="19"/>
    </x:row>
    <x:row r="69" ht="15" hidden="0" customHeight="1">
      <x:c r="A69" s="3"/>
      <x:c r="B69" s="3"/>
      <x:c r="C69" s="3" t="str">
        <x:v>iuanalaoi</x:v>
      </x:c>
      <x:c r="D69" s="3" t="str">
        <x:v>St. Lucia</x:v>
      </x:c>
      <x:c r="E69" s="19" t="str">
        <x:v>(empty)</x:v>
      </x:c>
      <x:c r="F69" s="19" t="str">
        <x:v>Matthews 1966</x:v>
      </x:c>
      <x:c r="G69" s="19"/>
    </x:row>
    <x:row r="70" ht="15" hidden="0" customHeight="1">
      <x:c r="A70" s="3"/>
      <x:c r="B70" s="3"/>
      <x:c r="C70" s="3" t="str">
        <x:v>jamaicensis jamaicensis</x:v>
      </x:c>
      <x:c r="D70" s="3" t="str">
        <x:v>Jamaica</x:v>
      </x:c>
      <x:c r="E70" s="19" t="str">
        <x:v>(empty)</x:v>
      </x:c>
      <x:c r="F70" s="19" t="str">
        <x:v>Matthews 1966</x:v>
      </x:c>
      <x:c r="G70" s="19"/>
    </x:row>
    <x:row r="71" ht="15" hidden="0" customHeight="1">
      <x:c r="A71" s="3"/>
      <x:c r="B71" s="3"/>
      <x:c r="C71" s="3" t="str">
        <x:v>jamaicensis viridescens</x:v>
      </x:c>
      <x:c r="D71" s="3" t="str">
        <x:v>Jamaica</x:v>
      </x:c>
      <x:c r="E71" s="19" t="str">
        <x:v>(empty)</x:v>
      </x:c>
      <x:c r="F71" s="19" t="str">
        <x:v>Matthews 1966</x:v>
      </x:c>
      <x:c r="G71" s="19"/>
    </x:row>
    <x:row r="72" ht="15" hidden="0" customHeight="1">
      <x:c r="A72" s="3"/>
      <x:c r="B72" s="3"/>
      <x:c r="C72" s="3" t="str">
        <x:v>sylvaticus</x:v>
      </x:c>
      <x:c r="D72" s="3" t="str">
        <x:v>Dominica</x:v>
      </x:c>
      <x:c r="E72" s="19" t="str">
        <x:v>(empty)</x:v>
      </x:c>
      <x:c r="F72" s="19" t="str">
        <x:v>Matthews 1966</x:v>
      </x:c>
      <x:c r="G72" s="19"/>
    </x:row>
    <x:row r="73" ht="15" hidden="0" customHeight="1">
      <x:c r="A73" s="3"/>
      <x:c r="B73" s="3"/>
      <x:c r="C73" s="3" t="str">
        <x:v>vitraci</x:v>
      </x:c>
      <x:c r="D73" s="3" t="str">
        <x:v>Guadeloupe</x:v>
      </x:c>
      <x:c r="E73" s="19" t="str">
        <x:v>(empty)</x:v>
      </x:c>
      <x:c r="F73" s="19" t="str">
        <x:v>Matthews 1966</x:v>
      </x:c>
      <x:c r="G73" s="19"/>
    </x:row>
    <x:row r="74" ht="15" hidden="0" customHeight="1">
      <x:c r="A74" s="3" t="str">
        <x:v>Sulcophanaeus</x:v>
      </x:c>
      <x:c r="B74" s="3" t="str">
        <x:v>yes</x:v>
      </x:c>
      <x:c r="C74" s="3" t="str">
        <x:v>carnifex</x:v>
      </x:c>
      <x:c r="D74" s="3" t="str">
        <x:v>Jamaica</x:v>
      </x:c>
      <x:c r="E74" s="19" t="str">
        <x:v>(empty)</x:v>
      </x:c>
      <x:c r="F74" s="19" t="str">
        <x:v>Matthews 1966 as Phanaeus</x:v>
      </x:c>
      <x:c r="G74" s="19"/>
    </x:row>
    <x:row r="75" ht="15" hidden="0" customHeight="1">
      <x:c r="A75" s="3" t="str">
        <x:v>Uroxys</x:v>
      </x:c>
      <x:c r="B75" s="3" t="str">
        <x:v>yes</x:v>
      </x:c>
      <x:c r="C75" s="3" t="str">
        <x:v>aphanes</x:v>
      </x:c>
      <x:c r="D75" s="3" t="str">
        <x:v>Martinique</x:v>
      </x:c>
      <x:c r="E75" s="19" t="str">
        <x:v>(empty)</x:v>
      </x:c>
      <x:c r="F75" s="19" t="str">
        <x:v>Huchet et al. 2026</x:v>
      </x:c>
      <x:c r="G75" s="19"/>
    </x:row>
    <x:row r="76" ht="15" hidden="0" customHeight="1">
      <x:c r="A76" s="3"/>
      <x:c r="B76" s="3"/>
      <x:c r="C76" s="3" t="str">
        <x:v>martinicensis</x:v>
      </x:c>
      <x:c r="D76" s="3" t="str">
        <x:v>Martinique</x:v>
      </x:c>
      <x:c r="E76" s="19" t="str">
        <x:v>(empty)</x:v>
      </x:c>
      <x:c r="F76" s="19" t="str">
        <x:v>Huchet et al. 2026</x:v>
      </x:c>
      <x:c r="G76" s="19"/>
    </x:row>
    <x:row r="77" ht="24" hidden="0" customHeight="1">
      <x:c r="A77" s="3"/>
      <x:c r="B77" s="3"/>
      <x:c r="C77" s="3" t="str">
        <x:v>productus</x:v>
      </x:c>
      <x:c r="D77" s="3" t="str">
        <x:v>Guadeloupe</x:v>
      </x:c>
      <x:c r="E77" s="19" t="str">
        <x:v>(empty)</x:v>
      </x:c>
      <x:c r="F77" s="19" t="str">
        <x:v>Matthews 1966, Huchet et al. 2026, but see Matthews 1969, then Chalumeau 1983</x:v>
      </x:c>
      <x:c r="G77" s="19"/>
    </x:row>
    <x:row r="78" ht="15" hidden="0" customHeight="1">
      <x:c r="A78" s="3"/>
      <x:c r="B78" s="3"/>
      <x:c r="C78" s="3" t="str">
        <x:v>trinitatis</x:v>
      </x:c>
      <x:c r="D78" s="3" t="str">
        <x:v>Grenada</x:v>
      </x:c>
      <x:c r="E78" s="19" t="str">
        <x:v>introduced from Trinidad or introduced into Trinidad?</x:v>
      </x:c>
      <x:c r="F78" s="19" t="str">
        <x:v>Matthews 1966</x:v>
      </x:c>
      <x:c r="G78" s="19"/>
    </x:row>
    <x:row r="79" ht="15" hidden="0" customHeight="1">
      <x:c r="A79" s="3"/>
      <x:c r="B79" s="3"/>
      <x:c r="C79" s="3" t="str">
        <x:v>vicentiae</x:v>
      </x:c>
      <x:c r="D79" s="3" t="str">
        <x:v>Grenada</x:v>
      </x:c>
      <x:c r="E79" s="19" t="str">
        <x:v>(empty)</x:v>
      </x:c>
      <x:c r="F79" s="19" t="str">
        <x:v>Matthews 1966, Huchet et al. 2026</x:v>
      </x:c>
      <x:c r="G79" s="19"/>
    </x:row>
    <x:row r="80" ht="15" hidden="0" customHeight="1">
      <x:c r="A80" s="3"/>
      <x:c r="B80" s="3"/>
      <x:c r="C80" s="3"/>
      <x:c r="D80" s="3" t="str">
        <x:v>Grenadines</x:v>
      </x:c>
      <x:c r="E80" s="19" t="str">
        <x:v>(empty)</x:v>
      </x:c>
      <x:c r="F80" s="19" t="str">
        <x:v>Matthews 1966, Huchet et al. 2026</x:v>
      </x:c>
      <x:c r="G80" s="19"/>
    </x:row>
    <x:row r="81" ht="15" hidden="0" customHeight="1">
      <x:c r="A81" s="3"/>
      <x:c r="B81" s="3"/>
      <x:c r="C81" s="3"/>
      <x:c r="D81" s="3" t="str">
        <x:v>St. Vincent</x:v>
      </x:c>
      <x:c r="E81" s="19" t="str">
        <x:v>(empty)</x:v>
      </x:c>
      <x:c r="F81" s="19" t="str">
        <x:v>Matthews 1966, Huchet et al. 2026</x:v>
      </x:c>
      <x:c r="G81" s="19"/>
    </x:row>
    <x:row r="82" ht="15" hidden="0" customHeight="1">
      <x:c r="A82" s="3" t="str">
        <x:v>Total Result</x:v>
      </x:c>
      <x:c r="B82" s="3"/>
      <x:c r="C82" s="3"/>
      <x:c r="D82" s="3"/>
      <x:c r="E82" s="19"/>
      <x:c r="F82" s="19"/>
      <x:c r="G82" s="19"/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33d2ace8680346da"/>
  </x:tableParts>
</x:worksheet>
</file>

<file path=xl/worksheets/sheet3.xml><?xml version="1.0" encoding="utf-8"?>
<x:worksheet xmlns:x="http://schemas.openxmlformats.org/spreadsheetml/2006/main">
  <x:sheetPr>
    <x:tabColor rgb="FF7A8793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2">
      <x:c r="A2" s="1" t="str">
        <x:v>Using and extending the island richness table</x:v>
      </x:c>
      <x:c r="B2" s="1"/>
      <x:c r="C2" s="1"/>
      <x:c r="D2" s="1"/>
      <x:c r="E2" s="1"/>
      <x:c r="F2" s="1"/>
    </x:row>
    <x:row r="5" ht="15" hidden="0" customHeight="1">
      <x:c r="A5" s="23" t="str">
        <x:v>Purpose</x:v>
      </x:c>
      <x:c r="B5" s="24" t="str">
        <x:v>Regression data contains one spatial unit per row with species richness and matching land area.</x:v>
      </x:c>
    </x:row>
    <x:row r="6" ht="15" hidden="0" customHeight="1">
      <x:c r="A6" s="25" t="str">
        <x:v>Core fields</x:v>
      </x:c>
      <x:c r="B6" s="26" t="str">
        <x:v>Use island, n_spp and area_km2. log columns are formula-driven for log-log species-area models.</x:v>
      </x:c>
    </x:row>
    <x:row r="7" ht="15" hidden="0" customHeight="1">
      <x:c r="A7" s="25" t="str">
        <x:v>Adding data</x:v>
      </x:c>
      <x:c r="B7" s="26" t="str">
        <x:v>Append one row to the Excel table. Give a stable island_id, exact spatial unit, richness definition, area source URL and inclusion decision.</x:v>
      </x:c>
    </x:row>
    <x:row r="8" ht="15" hidden="0" customHeight="1">
      <x:c r="A8" s="25" t="str">
        <x:v>Spatial matching</x:v>
      </x:c>
      <x:c r="B8" s="26" t="str">
        <x:v>Area must describe the same island or archipelago covered by the richness count. Do not mix country area with main-island richness.</x:v>
      </x:c>
    </x:row>
    <x:row r="9" ht="15" hidden="0" customHeight="1">
      <x:c r="A9" s="25" t="str">
        <x:v>Taxonomic matching</x:v>
      </x:c>
      <x:c r="B9" s="26" t="str">
        <x:v>Use the same Scarabaeinae definition and treatment of native, endemic and introduced species across rows.</x:v>
      </x:c>
    </x:row>
    <x:row r="10" ht="15" hidden="0" customHeight="1">
      <x:c r="A10" s="25" t="str">
        <x:v>Base-model flag</x:v>
      </x:c>
      <x:c r="B10" s="26" t="str">
        <x:v>Yes is a working inclusion set. Review means resolve scope/comparability before fitting. No excludes unresolved records.</x:v>
      </x:c>
    </x:row>
    <x:row r="11" ht="15" hidden="0" customHeight="1">
      <x:c r="A11" s="25" t="str">
        <x:v>Recommended area source</x:v>
      </x:c>
      <x:c r="B11" s="26" t="str">
        <x:v>For future additions, use one consistent GIS product where possible: USGS Global Islands, DOI 10.5066/P91ZCSGM.</x:v>
      </x:c>
    </x:row>
    <x:row r="12" ht="24" hidden="0" customHeight="1">
      <x:c r="A12" s="25" t="str">
        <x:v>Large landmasses</x:v>
      </x:c>
      <x:c r="B12" s="26" t="str">
        <x:v>Australia, New Guinea and Madagascar can dominate the slope and differ biogeographically from oceanic islands. Fit sensitivity models with and without them.</x:v>
      </x:c>
    </x:row>
    <x:row r="13" ht="15" hidden="0" customHeight="1">
      <x:c r="A13" s="25" t="str">
        <x:v>Archipelagos</x:v>
      </x:c>
      <x:c r="B13" s="26" t="str">
        <x:v>New Zealand, New Caledonia and Guadeloupe are multi-island units. Include them only if richness was compiled for the same full unit.</x:v>
      </x:c>
    </x:row>
    <x:row r="14" ht="15" hidden="0" customHeight="1">
      <x:c r="A14" s="25" t="str">
        <x:v>American source</x:v>
      </x:c>
      <x:c r="B14" s="26" t="str">
        <x:v>Counts are exact row counts by the source Island label. The ambiguous Lesser Antilles record remains visible but excluded.</x:v>
      </x:c>
    </x:row>
    <x:row r="15" ht="15" hidden="0" customHeight="1">
      <x:c r="A15" s="25" t="str">
        <x:v>Provisional areas</x:v>
      </x:c>
      <x:c r="B15" s="26" t="str">
        <x:v>Rows marked Provisional should be replaced with values from the chosen canonical GIS dataset before final analysis.</x:v>
      </x:c>
    </x:row>
    <x:row r="16" ht="15" hidden="0" customHeight="1">
      <x:c r="A16" s="25" t="str">
        <x:v>Suggested model checks</x:v>
      </x:c>
      <x:c r="B16" s="26" t="str">
        <x:v>Plot log richness versus log area; inspect leverage; compare oceanic-only, all-island and continental-fragment sensitivity models.</x:v>
      </x:c>
    </x:row>
  </x:sheetData>
  <x:mergeCells>
    <x:mergeCell ref="A2:F2"/>
  </x:mergeCells>
  <x:pageMargins left="0.7" right="0.7" top="0.75" bottom="0.75" header="0.3" footer="0.3"/>
</x:worksheet>
</file>