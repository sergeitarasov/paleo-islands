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sinkifi-my.sharepoint.com/personal/taravser_ad_helsinki_fi/Documents/My_papers/Sunken_Islands/divextra-sunken/data/"/>
    </mc:Choice>
  </mc:AlternateContent>
  <xr:revisionPtr revIDLastSave="3" documentId="8_{F1580807-528B-C84D-8FDE-3F6A020BBF60}" xr6:coauthVersionLast="47" xr6:coauthVersionMax="47" xr10:uidLastSave="{024B5AB0-CA13-1B4B-B465-DEB90DF71E23}"/>
  <bookViews>
    <workbookView xWindow="-51200" yWindow="500" windowWidth="51200" windowHeight="28300" xr2:uid="{4FC258FB-A812-7545-8F42-166822555B78}"/>
  </bookViews>
  <sheets>
    <sheet name="supplementary_tables(Sheet2)" sheetId="1" r:id="rId1"/>
    <sheet name="Sheet1" sheetId="2" r:id="rId2"/>
    <sheet name="Sheet2" sheetId="3" r:id="rId3"/>
  </sheets>
  <definedNames>
    <definedName name="_xlnm._FilterDatabase" localSheetId="1" hidden="1">Sheet1!$A$1:$A$317</definedName>
    <definedName name="_xlnm._FilterDatabase" localSheetId="0" hidden="1">'supplementary_tables(Sheet2)'!$A$1:$P$317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4" i="1" l="1"/>
  <c r="C175" i="1"/>
  <c r="C177" i="1"/>
  <c r="C179" i="1"/>
  <c r="C183" i="1"/>
  <c r="C194" i="1"/>
  <c r="C209" i="1"/>
  <c r="C216" i="1"/>
  <c r="C217" i="1"/>
  <c r="C221" i="1"/>
  <c r="C222" i="1"/>
  <c r="C257" i="1"/>
  <c r="C260" i="1"/>
  <c r="C261" i="1"/>
  <c r="C274" i="1"/>
  <c r="C275" i="1"/>
  <c r="C278" i="1"/>
  <c r="C282" i="1"/>
  <c r="C281" i="1"/>
  <c r="C289" i="1"/>
  <c r="C311" i="1"/>
  <c r="C312" i="1"/>
  <c r="C313" i="1"/>
  <c r="C314" i="1"/>
  <c r="C317" i="1"/>
  <c r="C46" i="1"/>
  <c r="C58" i="1"/>
  <c r="C140" i="1"/>
  <c r="C186" i="1"/>
  <c r="C271" i="1"/>
  <c r="C124" i="1"/>
  <c r="C87" i="1"/>
  <c r="C153" i="1"/>
  <c r="C57" i="1"/>
  <c r="C90" i="1"/>
  <c r="C155" i="1"/>
  <c r="C55" i="1"/>
  <c r="C91" i="1"/>
  <c r="C206" i="1"/>
  <c r="C30" i="1"/>
  <c r="C54" i="1"/>
  <c r="C131" i="1"/>
  <c r="C147" i="1"/>
  <c r="C151" i="1"/>
  <c r="C126" i="1"/>
  <c r="C35" i="1"/>
  <c r="C128" i="1"/>
  <c r="C158" i="1"/>
  <c r="C138" i="1"/>
  <c r="C134" i="1"/>
  <c r="C136" i="1"/>
  <c r="C130" i="1"/>
  <c r="C125" i="1"/>
  <c r="C61" i="1"/>
  <c r="C127" i="1"/>
  <c r="C152" i="1"/>
  <c r="C63" i="1"/>
  <c r="C133" i="1"/>
  <c r="C129" i="1"/>
  <c r="C223" i="1"/>
  <c r="C159" i="1"/>
  <c r="C277" i="1"/>
  <c r="C225" i="1"/>
  <c r="C22" i="1"/>
  <c r="C34" i="1"/>
  <c r="C227" i="1"/>
  <c r="C83" i="1"/>
  <c r="C236" i="1"/>
  <c r="C146" i="1"/>
  <c r="C7" i="1"/>
  <c r="C245" i="1"/>
  <c r="C273" i="1"/>
  <c r="C163" i="1"/>
  <c r="C259" i="1"/>
  <c r="C287" i="1"/>
  <c r="C237" i="1"/>
  <c r="C12" i="1"/>
  <c r="C17" i="1"/>
  <c r="C283" i="1"/>
  <c r="C285" i="1"/>
  <c r="C43" i="1"/>
  <c r="C98" i="1"/>
  <c r="C262" i="1"/>
  <c r="C238" i="1"/>
  <c r="C200" i="1"/>
  <c r="C276" i="1"/>
  <c r="C247" i="1"/>
  <c r="C263" i="1"/>
  <c r="C250" i="1"/>
  <c r="C47" i="1"/>
  <c r="C164" i="1"/>
  <c r="C33" i="1"/>
  <c r="C104" i="1"/>
  <c r="C84" i="1"/>
  <c r="C94" i="1"/>
  <c r="C279" i="1"/>
  <c r="C192" i="1"/>
  <c r="C248" i="1"/>
  <c r="C160" i="1"/>
  <c r="C100" i="1"/>
  <c r="C190" i="1"/>
  <c r="C242" i="1"/>
  <c r="C137" i="1"/>
  <c r="C254" i="1"/>
  <c r="C4" i="1"/>
  <c r="C110" i="1"/>
  <c r="C31" i="1"/>
  <c r="C228" i="1"/>
  <c r="C156" i="1"/>
  <c r="C266" i="1"/>
  <c r="C235" i="1"/>
  <c r="C232" i="1"/>
  <c r="C201" i="1"/>
  <c r="C256" i="1"/>
  <c r="C233" i="1"/>
  <c r="C308" i="1"/>
  <c r="C181" i="1"/>
  <c r="C51" i="1"/>
  <c r="C224" i="1"/>
  <c r="C161" i="1"/>
  <c r="C195" i="1"/>
  <c r="C204" i="1"/>
  <c r="C139" i="1"/>
  <c r="C241" i="1"/>
  <c r="C268" i="1"/>
  <c r="C142" i="1"/>
  <c r="C95" i="1"/>
  <c r="C207" i="1"/>
  <c r="C193" i="1"/>
  <c r="C85" i="1"/>
  <c r="C21" i="1"/>
  <c r="C182" i="1"/>
  <c r="C253" i="1"/>
  <c r="C157" i="1"/>
  <c r="C86" i="1"/>
  <c r="C2" i="1"/>
  <c r="C9" i="1"/>
  <c r="C154" i="1"/>
  <c r="C74" i="1"/>
  <c r="C11" i="1"/>
  <c r="C180" i="1"/>
  <c r="C189" i="1"/>
  <c r="C176" i="1"/>
  <c r="C78" i="1"/>
  <c r="C50" i="1"/>
  <c r="C203" i="1"/>
  <c r="C24" i="1"/>
  <c r="C49" i="1"/>
  <c r="C171" i="1"/>
  <c r="C108" i="1"/>
  <c r="C234" i="1"/>
  <c r="C82" i="1"/>
  <c r="C101" i="1"/>
  <c r="C81" i="1"/>
  <c r="C10" i="1"/>
  <c r="C165" i="1"/>
  <c r="C8" i="1"/>
  <c r="C173" i="1"/>
  <c r="C199" i="1"/>
  <c r="C67" i="1"/>
  <c r="C19" i="1"/>
  <c r="C18" i="1"/>
  <c r="C246" i="1"/>
  <c r="C16" i="1"/>
  <c r="C26" i="1"/>
  <c r="C269" i="1"/>
  <c r="C191" i="1"/>
  <c r="C69" i="1"/>
  <c r="C284" i="1"/>
  <c r="C60" i="1"/>
  <c r="C79" i="1"/>
  <c r="C231" i="1"/>
  <c r="C168" i="1"/>
  <c r="C72" i="1"/>
  <c r="C111" i="1"/>
  <c r="C102" i="1"/>
  <c r="C270" i="1"/>
  <c r="C77" i="1"/>
  <c r="C249" i="1"/>
  <c r="C20" i="1"/>
  <c r="C45" i="1"/>
  <c r="C202" i="1"/>
  <c r="C66" i="1"/>
  <c r="C219" i="1"/>
  <c r="C70" i="1"/>
  <c r="C243" i="1"/>
  <c r="C37" i="1"/>
  <c r="C255" i="1"/>
  <c r="C25" i="1"/>
  <c r="C220" i="1"/>
  <c r="C36" i="1"/>
  <c r="C39" i="1"/>
  <c r="C56" i="1"/>
  <c r="C71" i="1"/>
  <c r="C62" i="1"/>
  <c r="C251" i="1"/>
  <c r="C188" i="1"/>
  <c r="C114" i="1"/>
  <c r="C135" i="1"/>
  <c r="C244" i="1"/>
  <c r="C267" i="1"/>
  <c r="C184" i="1"/>
  <c r="C113" i="1"/>
  <c r="C38" i="1"/>
  <c r="C230" i="1"/>
  <c r="C252" i="1"/>
  <c r="C315" i="1"/>
  <c r="C143" i="1"/>
  <c r="C239" i="1"/>
  <c r="C80" i="1"/>
  <c r="C148" i="1"/>
  <c r="C23" i="1"/>
  <c r="C205" i="1"/>
  <c r="C145" i="1"/>
  <c r="C226" i="1"/>
  <c r="C88" i="1"/>
  <c r="C272" i="1"/>
  <c r="C29" i="1"/>
  <c r="C208" i="1"/>
  <c r="C213" i="1"/>
  <c r="C212" i="1"/>
  <c r="C211" i="1"/>
  <c r="C304" i="1"/>
  <c r="C307" i="1"/>
  <c r="C300" i="1"/>
  <c r="C303" i="1"/>
  <c r="C294" i="1"/>
  <c r="C296" i="1"/>
  <c r="C295" i="1"/>
  <c r="C298" i="1"/>
  <c r="C297" i="1"/>
  <c r="C301" i="1"/>
  <c r="C302" i="1"/>
  <c r="C291" i="1"/>
  <c r="C292" i="1"/>
  <c r="C293" i="1"/>
  <c r="C290" i="1"/>
  <c r="C214" i="1"/>
  <c r="C215" i="1"/>
  <c r="C198" i="1"/>
  <c r="C14" i="1"/>
  <c r="C197" i="1"/>
  <c r="C73" i="1"/>
  <c r="C27" i="1"/>
  <c r="C132" i="1"/>
  <c r="C41" i="1"/>
  <c r="C92" i="1"/>
  <c r="C93" i="1"/>
  <c r="C218" i="1"/>
  <c r="C75" i="1"/>
  <c r="C76" i="1"/>
  <c r="C42" i="1"/>
  <c r="C107" i="1"/>
  <c r="C309" i="1"/>
  <c r="C310" i="1"/>
  <c r="C169" i="1"/>
  <c r="C264" i="1"/>
  <c r="C265" i="1"/>
  <c r="C306" i="1"/>
  <c r="C299" i="1"/>
  <c r="C99" i="1"/>
  <c r="C258" i="1"/>
  <c r="C15" i="1"/>
  <c r="C28" i="1"/>
  <c r="C305" i="1"/>
  <c r="C170" i="1"/>
  <c r="C3" i="1"/>
  <c r="C5" i="1"/>
  <c r="C6" i="1"/>
  <c r="C40" i="1"/>
  <c r="C48" i="1"/>
  <c r="C53" i="1"/>
  <c r="C59" i="1"/>
  <c r="C64" i="1"/>
  <c r="C68" i="1"/>
  <c r="C96" i="1"/>
  <c r="C105" i="1"/>
  <c r="C106" i="1"/>
  <c r="C149" i="1"/>
  <c r="C150" i="1"/>
  <c r="C166" i="1"/>
  <c r="C167" i="1"/>
  <c r="C185" i="1"/>
  <c r="C144" i="1"/>
  <c r="C89" i="1"/>
  <c r="C52" i="1"/>
  <c r="C229" i="1"/>
  <c r="C13" i="1"/>
  <c r="C178" i="1"/>
  <c r="C240" i="1"/>
  <c r="C187" i="1"/>
  <c r="C280" i="1"/>
  <c r="C316" i="1"/>
  <c r="C115" i="1"/>
  <c r="C123" i="1"/>
  <c r="C122" i="1"/>
  <c r="C121" i="1"/>
  <c r="C119" i="1"/>
  <c r="C116" i="1"/>
  <c r="C120" i="1"/>
  <c r="C210" i="1"/>
  <c r="C172" i="1"/>
  <c r="C288" i="1"/>
  <c r="C141" i="1"/>
  <c r="C286" i="1"/>
  <c r="C103" i="1"/>
  <c r="C112" i="1"/>
  <c r="C162" i="1"/>
  <c r="C109" i="1"/>
  <c r="C32" i="1"/>
  <c r="C65" i="1"/>
  <c r="C97" i="1"/>
  <c r="C44" i="1"/>
  <c r="C196" i="1"/>
  <c r="C118" i="1"/>
  <c r="C117" i="1"/>
  <c r="A117" i="1"/>
</calcChain>
</file>

<file path=xl/sharedStrings.xml><?xml version="1.0" encoding="utf-8"?>
<sst xmlns="http://schemas.openxmlformats.org/spreadsheetml/2006/main" count="3312" uniqueCount="1819">
  <si>
    <t>name-tree</t>
  </si>
  <si>
    <t>id-tmp</t>
  </si>
  <si>
    <t>Genus</t>
  </si>
  <si>
    <t>species</t>
  </si>
  <si>
    <t>Specimen ID</t>
  </si>
  <si>
    <t>Reference</t>
  </si>
  <si>
    <t>Lab Code</t>
  </si>
  <si>
    <t>N° of UCE Loci</t>
  </si>
  <si>
    <t>DNA</t>
  </si>
  <si>
    <t>Barcode i5 ID</t>
  </si>
  <si>
    <t>Barcode i5 Seq</t>
  </si>
  <si>
    <t>Barcode i7 ID</t>
  </si>
  <si>
    <t>Barcode i7Seq</t>
  </si>
  <si>
    <t>NCBI BioProject</t>
  </si>
  <si>
    <t>id-1</t>
  </si>
  <si>
    <t xml:space="preserve">Helictopleurus </t>
  </si>
  <si>
    <t>fasciolatus obscurus</t>
  </si>
  <si>
    <t>STL-10334</t>
  </si>
  <si>
    <t>Lopes et al. 2023</t>
  </si>
  <si>
    <t>A02FO_STL10334</t>
  </si>
  <si>
    <t>Archival DNA extraction</t>
  </si>
  <si>
    <t>ACGTCCTG</t>
  </si>
  <si>
    <t>AGATCGCA</t>
  </si>
  <si>
    <t>PRJNA1031114</t>
  </si>
  <si>
    <t>id-2</t>
  </si>
  <si>
    <t>fasciolatus pseudofasciolatus</t>
  </si>
  <si>
    <t>STL-10333</t>
  </si>
  <si>
    <t>A03FP_STL10333</t>
  </si>
  <si>
    <t>TCTTCACA</t>
  </si>
  <si>
    <t>id-3</t>
  </si>
  <si>
    <t>cf. Furcicornis</t>
  </si>
  <si>
    <t>STL-10332</t>
  </si>
  <si>
    <t>A19FU_STL10332</t>
  </si>
  <si>
    <t>ACAGCAGA</t>
  </si>
  <si>
    <t>id-4</t>
  </si>
  <si>
    <t>undatus</t>
  </si>
  <si>
    <t>STL-10331</t>
  </si>
  <si>
    <t>A11UN_STL10331</t>
  </si>
  <si>
    <t>AAGGTACA</t>
  </si>
  <si>
    <t>id-5</t>
  </si>
  <si>
    <t>sinuatocornis</t>
  </si>
  <si>
    <t>STL-10330</t>
  </si>
  <si>
    <t>A0651_STL10330</t>
  </si>
  <si>
    <t>ATCCTGTA</t>
  </si>
  <si>
    <t>id-6</t>
  </si>
  <si>
    <t>perrieri</t>
  </si>
  <si>
    <t>STL-10329</t>
  </si>
  <si>
    <t>A17PE_STL10329</t>
  </si>
  <si>
    <t>AGGCTATA</t>
  </si>
  <si>
    <t>CCTAACAG</t>
  </si>
  <si>
    <t>id-7</t>
  </si>
  <si>
    <t>neuter</t>
  </si>
  <si>
    <t>STL-10327</t>
  </si>
  <si>
    <t>A05NE_STL10327</t>
  </si>
  <si>
    <t>TTCGAAGC</t>
  </si>
  <si>
    <t>id-8</t>
  </si>
  <si>
    <t>fasciolatus fasciolatus</t>
  </si>
  <si>
    <t>STL-10324</t>
  </si>
  <si>
    <t>A01FF_STL10324</t>
  </si>
  <si>
    <t>GTGTTCTA</t>
  </si>
  <si>
    <t>ACCTCCAA</t>
  </si>
  <si>
    <t>id-9</t>
  </si>
  <si>
    <t>nicollei</t>
  </si>
  <si>
    <t>STL-10319</t>
  </si>
  <si>
    <t>A13NI_STL10319</t>
  </si>
  <si>
    <t>TAGGATGA</t>
  </si>
  <si>
    <t>id-10</t>
  </si>
  <si>
    <t xml:space="preserve">Nesosisyphus </t>
  </si>
  <si>
    <t>rotundatus</t>
  </si>
  <si>
    <t>STL-52</t>
  </si>
  <si>
    <t>13_STL52</t>
  </si>
  <si>
    <t>CGACTGGA</t>
  </si>
  <si>
    <t>id-11</t>
  </si>
  <si>
    <t>Kheper</t>
  </si>
  <si>
    <t>nigroaeneus</t>
  </si>
  <si>
    <t>STL-10036</t>
  </si>
  <si>
    <t>Khnig_STL10036</t>
  </si>
  <si>
    <t>Commercial Kit extraction</t>
  </si>
  <si>
    <t>TCAGAGCC</t>
  </si>
  <si>
    <t>GAACGAAG</t>
  </si>
  <si>
    <t>id-12</t>
  </si>
  <si>
    <t>Sceliages</t>
  </si>
  <si>
    <t>hippias</t>
  </si>
  <si>
    <t>STL-10030</t>
  </si>
  <si>
    <t>Schip_STL10030</t>
  </si>
  <si>
    <t>CAGTGCTT</t>
  </si>
  <si>
    <t>id-13</t>
  </si>
  <si>
    <t>Helictopleurus</t>
  </si>
  <si>
    <t>neoamplicollis</t>
  </si>
  <si>
    <t>STL-5024</t>
  </si>
  <si>
    <t>Heneo_STL5024</t>
  </si>
  <si>
    <t>CCAACACT</t>
  </si>
  <si>
    <t>id-14</t>
  </si>
  <si>
    <t>Scarabaeus</t>
  </si>
  <si>
    <t>westwoodi</t>
  </si>
  <si>
    <t>STL-10034</t>
  </si>
  <si>
    <t>Scwes_STL10034</t>
  </si>
  <si>
    <t>GCATAACG</t>
  </si>
  <si>
    <t>id-15</t>
  </si>
  <si>
    <t>Frankenbergerius</t>
  </si>
  <si>
    <t>armatus</t>
  </si>
  <si>
    <t>STL-10002</t>
  </si>
  <si>
    <t>Frarm_STL10002</t>
  </si>
  <si>
    <t>CTCGGTAA</t>
  </si>
  <si>
    <t>id-16</t>
  </si>
  <si>
    <t>Hamonthophagus</t>
  </si>
  <si>
    <t>depressus</t>
  </si>
  <si>
    <t>STL-10013</t>
  </si>
  <si>
    <t>Hadep_STL10013</t>
  </si>
  <si>
    <t>AAGTGCAG</t>
  </si>
  <si>
    <t>id-17</t>
  </si>
  <si>
    <t>Heteronitis</t>
  </si>
  <si>
    <t>ragazzii</t>
  </si>
  <si>
    <t>STL-10032</t>
  </si>
  <si>
    <t>Herag_STL10032</t>
  </si>
  <si>
    <t>ACCATGTC</t>
  </si>
  <si>
    <t>id-18</t>
  </si>
  <si>
    <t>Gyronotus</t>
  </si>
  <si>
    <t>pumilus</t>
  </si>
  <si>
    <t>STL-10003</t>
  </si>
  <si>
    <t>Gypum_STL10003</t>
  </si>
  <si>
    <t>CTTCGCCT</t>
  </si>
  <si>
    <t>TTACGTGC</t>
  </si>
  <si>
    <t>id-19</t>
  </si>
  <si>
    <t>Arachnodes</t>
  </si>
  <si>
    <t>sp4</t>
  </si>
  <si>
    <t>STL-5016</t>
  </si>
  <si>
    <t>Arac4_STL5016</t>
  </si>
  <si>
    <t>GGACAGAT</t>
  </si>
  <si>
    <t>id-20</t>
  </si>
  <si>
    <t>Drepanopodus</t>
  </si>
  <si>
    <t>proximus</t>
  </si>
  <si>
    <t>STL-10001</t>
  </si>
  <si>
    <t>Drepro_STL10001</t>
  </si>
  <si>
    <t>CATCCAAG</t>
  </si>
  <si>
    <t>id-21</t>
  </si>
  <si>
    <t>Epirinus</t>
  </si>
  <si>
    <t>cf.silvestris</t>
  </si>
  <si>
    <t>STL-10018</t>
  </si>
  <si>
    <t>Epsil_STL10018</t>
  </si>
  <si>
    <t>CTACAAGG</t>
  </si>
  <si>
    <t>id-22</t>
  </si>
  <si>
    <t>Catharsius</t>
  </si>
  <si>
    <t>sp.</t>
  </si>
  <si>
    <t>STL-10033</t>
  </si>
  <si>
    <t>Cath1_STL10033</t>
  </si>
  <si>
    <t>TCGAACCT</t>
  </si>
  <si>
    <t>id-23</t>
  </si>
  <si>
    <t>Nanos</t>
  </si>
  <si>
    <t>dubitatus</t>
  </si>
  <si>
    <t>STL-5001</t>
  </si>
  <si>
    <t>Nadub_STL5001</t>
  </si>
  <si>
    <t>GTCGTTAC</t>
  </si>
  <si>
    <t>id-24</t>
  </si>
  <si>
    <t>Metacatharsius</t>
  </si>
  <si>
    <t>opacus</t>
  </si>
  <si>
    <t>STL-10017</t>
  </si>
  <si>
    <t>Meopa_STL10017</t>
  </si>
  <si>
    <t>id-25</t>
  </si>
  <si>
    <t>politicollis</t>
  </si>
  <si>
    <t>STL-5029</t>
  </si>
  <si>
    <t>Hepol_STL5029</t>
  </si>
  <si>
    <t>CTTCGGTT</t>
  </si>
  <si>
    <t>id-26</t>
  </si>
  <si>
    <t>Epilissus</t>
  </si>
  <si>
    <t>cuprarius</t>
  </si>
  <si>
    <t>STL-5011</t>
  </si>
  <si>
    <t>Epcup_STL5011</t>
  </si>
  <si>
    <t>AGAAGCCT</t>
  </si>
  <si>
    <t>id-27</t>
  </si>
  <si>
    <t>Copris (Paracopris)</t>
  </si>
  <si>
    <t>STL-10022</t>
  </si>
  <si>
    <t>Copr2_STL10022</t>
  </si>
  <si>
    <t>ACATGGAG</t>
  </si>
  <si>
    <t>id-28</t>
  </si>
  <si>
    <t>Onthophagus</t>
  </si>
  <si>
    <t>cf.bicavifrons</t>
  </si>
  <si>
    <t>STL-10006</t>
  </si>
  <si>
    <t>Onbic_STL10006</t>
  </si>
  <si>
    <t>TCAGCCTT</t>
  </si>
  <si>
    <t>id-29</t>
  </si>
  <si>
    <t>Apotolamprus</t>
  </si>
  <si>
    <t>quadrinotatus</t>
  </si>
  <si>
    <t>STL-5006</t>
  </si>
  <si>
    <t>Apqua_STL5006</t>
  </si>
  <si>
    <t>CTGGTCAT</t>
  </si>
  <si>
    <t>id-30</t>
  </si>
  <si>
    <t>Litocopris</t>
  </si>
  <si>
    <t>muticus</t>
  </si>
  <si>
    <t>STL-10027</t>
  </si>
  <si>
    <t>Limut_STL10027</t>
  </si>
  <si>
    <t>ATAGGTCC</t>
  </si>
  <si>
    <t>id-31</t>
  </si>
  <si>
    <t>probus</t>
  </si>
  <si>
    <t>STL-10015</t>
  </si>
  <si>
    <t>Onpro_STL10015</t>
  </si>
  <si>
    <t>TAAGATTA</t>
  </si>
  <si>
    <t>id-32</t>
  </si>
  <si>
    <t>Microcopris</t>
  </si>
  <si>
    <t>sp1</t>
  </si>
  <si>
    <t>STL-10023</t>
  </si>
  <si>
    <t>Micr1_STL10023</t>
  </si>
  <si>
    <t>TAGGAGCT</t>
  </si>
  <si>
    <t>id-33</t>
  </si>
  <si>
    <t>Sarophorus</t>
  </si>
  <si>
    <t>costatus</t>
  </si>
  <si>
    <t>STL-10011</t>
  </si>
  <si>
    <t>Sacos_STL10011</t>
  </si>
  <si>
    <t>CATCTGCT</t>
  </si>
  <si>
    <t>id-34</t>
  </si>
  <si>
    <t>Xinidium</t>
  </si>
  <si>
    <t>dewitzi</t>
  </si>
  <si>
    <t>STL-10008</t>
  </si>
  <si>
    <t>Xidew_STL10008</t>
  </si>
  <si>
    <t>GGTCGTAT</t>
  </si>
  <si>
    <t>id-35</t>
  </si>
  <si>
    <t>Sisyphus</t>
  </si>
  <si>
    <t>sordidus</t>
  </si>
  <si>
    <t>STL-6</t>
  </si>
  <si>
    <t>Ssor_1_STL6</t>
  </si>
  <si>
    <t>id-36</t>
  </si>
  <si>
    <t xml:space="preserve">Sisyphus (Neosisyphus) </t>
  </si>
  <si>
    <t>spinipes</t>
  </si>
  <si>
    <t>STL-17</t>
  </si>
  <si>
    <t>Sspi_1_STL17</t>
  </si>
  <si>
    <t>id-37</t>
  </si>
  <si>
    <t>sp. 1</t>
  </si>
  <si>
    <t>STL-43</t>
  </si>
  <si>
    <t>EPI_1_STL43</t>
  </si>
  <si>
    <t>TGTGTCAG</t>
  </si>
  <si>
    <t>id-38</t>
  </si>
  <si>
    <t>Onycothechus</t>
  </si>
  <si>
    <t>tricornigeris</t>
  </si>
  <si>
    <t>STL-10225</t>
  </si>
  <si>
    <t>Ony_STL10225</t>
  </si>
  <si>
    <t>AACCACTC</t>
  </si>
  <si>
    <t>id-39</t>
  </si>
  <si>
    <t>sp. morpho 1</t>
  </si>
  <si>
    <t>STL-31</t>
  </si>
  <si>
    <t>Apot_1_STL31</t>
  </si>
  <si>
    <t>id-40</t>
  </si>
  <si>
    <t>STL-45</t>
  </si>
  <si>
    <t>Arac_1_STL45</t>
  </si>
  <si>
    <t>AAGCGACT</t>
  </si>
  <si>
    <t>id-41</t>
  </si>
  <si>
    <t>schaefferi</t>
  </si>
  <si>
    <t>STL-44</t>
  </si>
  <si>
    <t>Ssff_1_STL44</t>
  </si>
  <si>
    <t>TCTTCGAC</t>
  </si>
  <si>
    <t>id-42</t>
  </si>
  <si>
    <t>Janssensantus</t>
  </si>
  <si>
    <t>cf. inexpectatus</t>
  </si>
  <si>
    <t>STL-10221</t>
  </si>
  <si>
    <t>KIVE01_STL10221</t>
  </si>
  <si>
    <t>AAGTCCTC</t>
  </si>
  <si>
    <t>id-43</t>
  </si>
  <si>
    <t>Amphistomus</t>
  </si>
  <si>
    <t>primonactus</t>
  </si>
  <si>
    <t>-</t>
  </si>
  <si>
    <t>Gustafson et al. 2023</t>
  </si>
  <si>
    <t>Amppri_UCE</t>
  </si>
  <si>
    <t>GenBank</t>
  </si>
  <si>
    <t>PRJNA977672</t>
  </si>
  <si>
    <t>id-44</t>
  </si>
  <si>
    <t>Anoplostethus</t>
  </si>
  <si>
    <t>sp</t>
  </si>
  <si>
    <t>COL892</t>
  </si>
  <si>
    <t>Anop1_COL892</t>
  </si>
  <si>
    <t>id-45</t>
  </si>
  <si>
    <t>Aphodius</t>
  </si>
  <si>
    <t>immundus</t>
  </si>
  <si>
    <t>ST-003</t>
  </si>
  <si>
    <t>Apimm_ST003</t>
  </si>
  <si>
    <t>id-46</t>
  </si>
  <si>
    <t>Caccobius</t>
  </si>
  <si>
    <t>schereberi</t>
  </si>
  <si>
    <t>ST-001</t>
  </si>
  <si>
    <t>Casch_ST001</t>
  </si>
  <si>
    <t>id-47</t>
  </si>
  <si>
    <t>Chrysina</t>
  </si>
  <si>
    <t>resplendens</t>
  </si>
  <si>
    <t>Chrres_UCE</t>
  </si>
  <si>
    <t>id-48</t>
  </si>
  <si>
    <t>Copris</t>
  </si>
  <si>
    <t>fidius</t>
  </si>
  <si>
    <t>ST-005</t>
  </si>
  <si>
    <t>Cocin_ST005</t>
  </si>
  <si>
    <t>id-49</t>
  </si>
  <si>
    <t>Coptodactyla</t>
  </si>
  <si>
    <t>brooksi</t>
  </si>
  <si>
    <t>CopbroUCE</t>
  </si>
  <si>
    <t>id-50</t>
  </si>
  <si>
    <t>Diorygopyx</t>
  </si>
  <si>
    <t>dudplodentatus</t>
  </si>
  <si>
    <t>Diodud_UCE</t>
  </si>
  <si>
    <t>id-51</t>
  </si>
  <si>
    <t>Eophileurus</t>
  </si>
  <si>
    <t>COL1054</t>
  </si>
  <si>
    <t>Eoph1_COL1054</t>
  </si>
  <si>
    <t>TCTTACGG</t>
  </si>
  <si>
    <t>id-52</t>
  </si>
  <si>
    <t>splendidus splendidus</t>
  </si>
  <si>
    <t>ST-008</t>
  </si>
  <si>
    <t>Epspl_ST008</t>
  </si>
  <si>
    <t>id-53</t>
  </si>
  <si>
    <t>Geotrupes</t>
  </si>
  <si>
    <t>COL3920</t>
  </si>
  <si>
    <t>Geopa_COL3920</t>
  </si>
  <si>
    <t>CTCGTTCT</t>
  </si>
  <si>
    <t>id-54</t>
  </si>
  <si>
    <t>splendidus</t>
  </si>
  <si>
    <t>COL3901</t>
  </si>
  <si>
    <t>Gespl_COL3901</t>
  </si>
  <si>
    <t>CACAGACT</t>
  </si>
  <si>
    <t>id-55</t>
  </si>
  <si>
    <t>sicardi</t>
  </si>
  <si>
    <t>ST-012</t>
  </si>
  <si>
    <t>Hesic_ST012</t>
  </si>
  <si>
    <t>id-56</t>
  </si>
  <si>
    <t>ST-013</t>
  </si>
  <si>
    <t>Hesic_ST013</t>
  </si>
  <si>
    <t>id-57</t>
  </si>
  <si>
    <t>Hybosorus</t>
  </si>
  <si>
    <t>illigeri</t>
  </si>
  <si>
    <t>COL4013</t>
  </si>
  <si>
    <t>Hyill_COL4013</t>
  </si>
  <si>
    <t>TACGGAAG</t>
  </si>
  <si>
    <t>id-58</t>
  </si>
  <si>
    <t>Ischiopsophra</t>
  </si>
  <si>
    <t>COL1049</t>
  </si>
  <si>
    <t>Isch1_COL1049</t>
  </si>
  <si>
    <t>id-59</t>
  </si>
  <si>
    <t>Lamprima</t>
  </si>
  <si>
    <t>COL544</t>
  </si>
  <si>
    <t>Lamp1_COL544</t>
  </si>
  <si>
    <t>ATGAGTGC</t>
  </si>
  <si>
    <t>id-60</t>
  </si>
  <si>
    <t>Lepidiota</t>
  </si>
  <si>
    <t>COL629</t>
  </si>
  <si>
    <t>Lepd1_COL629</t>
  </si>
  <si>
    <t>id-61</t>
  </si>
  <si>
    <t>Liparochrus</t>
  </si>
  <si>
    <t>COL4004</t>
  </si>
  <si>
    <t>Lipa1_COL4004</t>
  </si>
  <si>
    <t>AACCAGAG</t>
  </si>
  <si>
    <t>id-62</t>
  </si>
  <si>
    <t>Lucanus</t>
  </si>
  <si>
    <t>capreolus</t>
  </si>
  <si>
    <t>COL3897</t>
  </si>
  <si>
    <t>Lucap_COL3897</t>
  </si>
  <si>
    <t>TACCGGAT</t>
  </si>
  <si>
    <t>id-63</t>
  </si>
  <si>
    <t>Marronus</t>
  </si>
  <si>
    <t>borbonicus</t>
  </si>
  <si>
    <t>Marbor_UCE</t>
  </si>
  <si>
    <t>id-64</t>
  </si>
  <si>
    <t>aff</t>
  </si>
  <si>
    <t>ST-009</t>
  </si>
  <si>
    <t>Nadub_ST009</t>
  </si>
  <si>
    <t>id-65</t>
  </si>
  <si>
    <t>vadoni</t>
  </si>
  <si>
    <t>ST-011</t>
  </si>
  <si>
    <t>Navad_ST011</t>
  </si>
  <si>
    <t>id-66</t>
  </si>
  <si>
    <t>Nicrophorus</t>
  </si>
  <si>
    <t>orbicollis</t>
  </si>
  <si>
    <t>Nicorb_UCE</t>
  </si>
  <si>
    <t>id-67</t>
  </si>
  <si>
    <t>vespilloides</t>
  </si>
  <si>
    <t>Nicves_UCE</t>
  </si>
  <si>
    <t>id-68</t>
  </si>
  <si>
    <t>Omorgus</t>
  </si>
  <si>
    <t>COL3918</t>
  </si>
  <si>
    <t>Omor1_COL3918</t>
  </si>
  <si>
    <t>CTGATGAG</t>
  </si>
  <si>
    <t>id-69</t>
  </si>
  <si>
    <t>Oniticellus</t>
  </si>
  <si>
    <t>cinctus</t>
  </si>
  <si>
    <t>ST-004</t>
  </si>
  <si>
    <t>Oncin_ST004</t>
  </si>
  <si>
    <t>id-70</t>
  </si>
  <si>
    <t>taurus</t>
  </si>
  <si>
    <t>ST-002</t>
  </si>
  <si>
    <t>Ontau_ST002</t>
  </si>
  <si>
    <t>id-71</t>
  </si>
  <si>
    <t>Oryctes</t>
  </si>
  <si>
    <t>Orybor_UCE</t>
  </si>
  <si>
    <t>id-72</t>
  </si>
  <si>
    <t>rhinoceros</t>
  </si>
  <si>
    <t>Oryrhi_UCE</t>
  </si>
  <si>
    <t>id-73</t>
  </si>
  <si>
    <t>Phanaeus</t>
  </si>
  <si>
    <t>dejeani</t>
  </si>
  <si>
    <t>PH043</t>
  </si>
  <si>
    <t>Pdej_PH043</t>
  </si>
  <si>
    <t>ACACGACC</t>
  </si>
  <si>
    <t>id-74</t>
  </si>
  <si>
    <t>Popillia</t>
  </si>
  <si>
    <t>japonica</t>
  </si>
  <si>
    <t>Popjap_UCE</t>
  </si>
  <si>
    <t>id-75</t>
  </si>
  <si>
    <t>Protaetia</t>
  </si>
  <si>
    <t>brevitarsis</t>
  </si>
  <si>
    <t>Probre_UCE</t>
  </si>
  <si>
    <t>id-76</t>
  </si>
  <si>
    <t>Sarrophorus</t>
  </si>
  <si>
    <t>ST-006</t>
  </si>
  <si>
    <t>Sacos_ST006</t>
  </si>
  <si>
    <t>id-77</t>
  </si>
  <si>
    <t>ST-007</t>
  </si>
  <si>
    <t>Sacos_ST007</t>
  </si>
  <si>
    <t>id-78</t>
  </si>
  <si>
    <t>Semanopterus</t>
  </si>
  <si>
    <t>COL035</t>
  </si>
  <si>
    <t>Sema1_COL035</t>
  </si>
  <si>
    <t>AGTCTTGG</t>
  </si>
  <si>
    <t>id-79</t>
  </si>
  <si>
    <t>Temnoplectron</t>
  </si>
  <si>
    <t>lewisensis</t>
  </si>
  <si>
    <t>Temlew_UCE</t>
  </si>
  <si>
    <t>id-80</t>
  </si>
  <si>
    <t>Thyregis</t>
  </si>
  <si>
    <t>relictus</t>
  </si>
  <si>
    <t>Thyrel_UCE</t>
  </si>
  <si>
    <t>id-81</t>
  </si>
  <si>
    <t>Trichaulax</t>
  </si>
  <si>
    <t>COL1050</t>
  </si>
  <si>
    <t>Tric1_COL1050</t>
  </si>
  <si>
    <t>AGAAGTGG</t>
  </si>
  <si>
    <t>id-82</t>
  </si>
  <si>
    <t>Trypoxylus</t>
  </si>
  <si>
    <t>dichotomus</t>
  </si>
  <si>
    <t>Trydic_UCE</t>
  </si>
  <si>
    <t>id-83</t>
  </si>
  <si>
    <t>Xylonichus</t>
  </si>
  <si>
    <t>COL066</t>
  </si>
  <si>
    <t>Xylo1_COL066</t>
  </si>
  <si>
    <t>TCATCTCC</t>
  </si>
  <si>
    <t>id-84</t>
  </si>
  <si>
    <t>Chalconotus</t>
  </si>
  <si>
    <t xml:space="preserve">convexus   </t>
  </si>
  <si>
    <t>STL-10035</t>
  </si>
  <si>
    <t>This study</t>
  </si>
  <si>
    <t>Ancon_STL10035</t>
  </si>
  <si>
    <t>id-85</t>
  </si>
  <si>
    <t xml:space="preserve">urus   </t>
  </si>
  <si>
    <t>STL-10024</t>
  </si>
  <si>
    <t>Couru_STL10024</t>
  </si>
  <si>
    <t>CAAGACTA</t>
  </si>
  <si>
    <t>id-86</t>
  </si>
  <si>
    <t xml:space="preserve">marsyas   </t>
  </si>
  <si>
    <t>STL-5026</t>
  </si>
  <si>
    <t>Hemar_STL5026</t>
  </si>
  <si>
    <t>GTCTGTCA</t>
  </si>
  <si>
    <t>id-87</t>
  </si>
  <si>
    <t xml:space="preserve">sp1   </t>
  </si>
  <si>
    <t>STL-10007</t>
  </si>
  <si>
    <t>Mesp1_STL10007</t>
  </si>
  <si>
    <t>id-88</t>
  </si>
  <si>
    <t>Pedaria</t>
  </si>
  <si>
    <t>STL-10016</t>
  </si>
  <si>
    <t>Pesp1_STL10016</t>
  </si>
  <si>
    <t>CTGTAGCC</t>
  </si>
  <si>
    <t>id-89</t>
  </si>
  <si>
    <t xml:space="preserve">aurocupreus   </t>
  </si>
  <si>
    <t>STL-5025</t>
  </si>
  <si>
    <t>Heaur_STL5025</t>
  </si>
  <si>
    <t>CAAGGAGC</t>
  </si>
  <si>
    <t>id-90</t>
  </si>
  <si>
    <t xml:space="preserve">alluaudi   </t>
  </si>
  <si>
    <t>STL-5009</t>
  </si>
  <si>
    <t>Epall_STL5009</t>
  </si>
  <si>
    <t>TCCAGCAA</t>
  </si>
  <si>
    <t>id-91</t>
  </si>
  <si>
    <t xml:space="preserve">splendidicollis   </t>
  </si>
  <si>
    <t>STL-5020</t>
  </si>
  <si>
    <t>Hespl_STL5020</t>
  </si>
  <si>
    <t>id-92</t>
  </si>
  <si>
    <t xml:space="preserve">sp2   </t>
  </si>
  <si>
    <t>STL-10025</t>
  </si>
  <si>
    <t>Cosp2_STL10025</t>
  </si>
  <si>
    <t>AGGTAGGA</t>
  </si>
  <si>
    <t>id-93</t>
  </si>
  <si>
    <t xml:space="preserve">fuscovirens   </t>
  </si>
  <si>
    <t>STL-5010</t>
  </si>
  <si>
    <t>Epfus_STL5010</t>
  </si>
  <si>
    <t>CGTAGATG</t>
  </si>
  <si>
    <t>id-94</t>
  </si>
  <si>
    <t xml:space="preserve">unifasciatus   </t>
  </si>
  <si>
    <t>STL-5030</t>
  </si>
  <si>
    <t>Heuni_STL5030</t>
  </si>
  <si>
    <t>id-95</t>
  </si>
  <si>
    <t xml:space="preserve">nevinsoni   </t>
  </si>
  <si>
    <t>STL-10021</t>
  </si>
  <si>
    <t>Conev_STL10021</t>
  </si>
  <si>
    <t>ATGCTACT</t>
  </si>
  <si>
    <t>GGTGCGAA</t>
  </si>
  <si>
    <t>id-96</t>
  </si>
  <si>
    <t xml:space="preserve">morio   </t>
  </si>
  <si>
    <t>STL-5007</t>
  </si>
  <si>
    <t>Epmor_STL5007</t>
  </si>
  <si>
    <t>ACAGATTC</t>
  </si>
  <si>
    <t>id-97</t>
  </si>
  <si>
    <t xml:space="preserve">sp7   </t>
  </si>
  <si>
    <t>STL-5005</t>
  </si>
  <si>
    <t>Nasp7_STL5005</t>
  </si>
  <si>
    <t>CTGGCATA</t>
  </si>
  <si>
    <t>id-98</t>
  </si>
  <si>
    <t>STL-5013</t>
  </si>
  <si>
    <t>Arsp2_STL5013</t>
  </si>
  <si>
    <t>ACAAGCTA</t>
  </si>
  <si>
    <t>id-99</t>
  </si>
  <si>
    <t xml:space="preserve">gilleti   </t>
  </si>
  <si>
    <t>STL-10028</t>
  </si>
  <si>
    <t>Cogil_STL10028</t>
  </si>
  <si>
    <t>CATCAAGT</t>
  </si>
  <si>
    <t>id-100</t>
  </si>
  <si>
    <t xml:space="preserve">fasciolatus suturalis   </t>
  </si>
  <si>
    <t>STL-10234</t>
  </si>
  <si>
    <t>A04FS_STL10234</t>
  </si>
  <si>
    <t>id-101</t>
  </si>
  <si>
    <t xml:space="preserve">semivirens   </t>
  </si>
  <si>
    <t>STL-10242</t>
  </si>
  <si>
    <t>A16SE_STL10242</t>
  </si>
  <si>
    <t>AGTCACTA</t>
  </si>
  <si>
    <t>id-102</t>
  </si>
  <si>
    <t xml:space="preserve">sp   </t>
  </si>
  <si>
    <t>STL-10248</t>
  </si>
  <si>
    <t>A28NS_STL10248</t>
  </si>
  <si>
    <t>ATTGGCTC</t>
  </si>
  <si>
    <t>id-103</t>
  </si>
  <si>
    <t xml:space="preserve">carbonarius   </t>
  </si>
  <si>
    <t>STL-10249</t>
  </si>
  <si>
    <t>A29CA_STL10249</t>
  </si>
  <si>
    <t>CAGATCTG</t>
  </si>
  <si>
    <t>id-104</t>
  </si>
  <si>
    <t xml:space="preserve">sp7 cf insularis </t>
  </si>
  <si>
    <t>STL-10201</t>
  </si>
  <si>
    <t>201_STL10201</t>
  </si>
  <si>
    <t>CCAGTTCA</t>
  </si>
  <si>
    <t>id-105</t>
  </si>
  <si>
    <t xml:space="preserve">coruscus   </t>
  </si>
  <si>
    <t>STL-10209</t>
  </si>
  <si>
    <t>209_STL10209</t>
  </si>
  <si>
    <t>GGAGAACA</t>
  </si>
  <si>
    <t>id-106</t>
  </si>
  <si>
    <t xml:space="preserve">viridans pseudoviridans  </t>
  </si>
  <si>
    <t>STL-10236</t>
  </si>
  <si>
    <t>A08VP_STL10236</t>
  </si>
  <si>
    <t>ACTATGCA</t>
  </si>
  <si>
    <t>id-107</t>
  </si>
  <si>
    <t xml:space="preserve">giganteus   </t>
  </si>
  <si>
    <t>STL-10177</t>
  </si>
  <si>
    <t>177_STL10177</t>
  </si>
  <si>
    <t>CCTCCTGA</t>
  </si>
  <si>
    <t>id-108</t>
  </si>
  <si>
    <t xml:space="preserve">fissicollis morettoi   </t>
  </si>
  <si>
    <t>STL-10237</t>
  </si>
  <si>
    <t>A09FM_STL10237</t>
  </si>
  <si>
    <t>AAACATCG</t>
  </si>
  <si>
    <t>id-109</t>
  </si>
  <si>
    <t xml:space="preserve">fulgens purpuricollis   </t>
  </si>
  <si>
    <t>STL-10239</t>
  </si>
  <si>
    <t>A12FP_STL10239</t>
  </si>
  <si>
    <t>id-110</t>
  </si>
  <si>
    <t xml:space="preserve">dorbignyi   </t>
  </si>
  <si>
    <t>STL-10240</t>
  </si>
  <si>
    <t>A14DO_STL10240</t>
  </si>
  <si>
    <t>CGGATTGC</t>
  </si>
  <si>
    <t>id-111</t>
  </si>
  <si>
    <t xml:space="preserve">cambeforti   </t>
  </si>
  <si>
    <t>STL-10250</t>
  </si>
  <si>
    <t>A30CM_STL10250</t>
  </si>
  <si>
    <t>ACATTGGC</t>
  </si>
  <si>
    <t>id-112</t>
  </si>
  <si>
    <t>Cyptochirus</t>
  </si>
  <si>
    <t>STL-10112</t>
  </si>
  <si>
    <t>112_STL10112</t>
  </si>
  <si>
    <t>ATTGAGGA</t>
  </si>
  <si>
    <t>id-113</t>
  </si>
  <si>
    <t>cf steineri n sp</t>
  </si>
  <si>
    <t>STL-10211</t>
  </si>
  <si>
    <t>211_STL10211</t>
  </si>
  <si>
    <t>GTCGTAGA</t>
  </si>
  <si>
    <t>id-114</t>
  </si>
  <si>
    <t xml:space="preserve">sp group semivirens </t>
  </si>
  <si>
    <t>STL-10214</t>
  </si>
  <si>
    <t>214_STL10214</t>
  </si>
  <si>
    <t>ACCACTGT</t>
  </si>
  <si>
    <t>id-115</t>
  </si>
  <si>
    <t>Digitonthophagus</t>
  </si>
  <si>
    <t xml:space="preserve">gazella   </t>
  </si>
  <si>
    <t>STL-10213</t>
  </si>
  <si>
    <t>213_STL10213</t>
  </si>
  <si>
    <t>TGGTGGTA</t>
  </si>
  <si>
    <t>id-116</t>
  </si>
  <si>
    <t xml:space="preserve">fissicollis australis  </t>
  </si>
  <si>
    <t>STL-10246</t>
  </si>
  <si>
    <t>A24FA_STL10246</t>
  </si>
  <si>
    <t>CGAACTTA</t>
  </si>
  <si>
    <t>id-117</t>
  </si>
  <si>
    <t xml:space="preserve">cribricollis   </t>
  </si>
  <si>
    <t>STL-10243</t>
  </si>
  <si>
    <t>A18CR_STL10243</t>
  </si>
  <si>
    <t>ATCATTCC</t>
  </si>
  <si>
    <t>id-118</t>
  </si>
  <si>
    <t xml:space="preserve">planatus   </t>
  </si>
  <si>
    <t>STL-10119</t>
  </si>
  <si>
    <t>119_STL10119</t>
  </si>
  <si>
    <t>ATGCCTAA</t>
  </si>
  <si>
    <t>id-119</t>
  </si>
  <si>
    <t xml:space="preserve">viridans viridans  </t>
  </si>
  <si>
    <t>STL-10235</t>
  </si>
  <si>
    <t>A07VV_STL10235</t>
  </si>
  <si>
    <t>GACAGTGC</t>
  </si>
  <si>
    <t>id-120</t>
  </si>
  <si>
    <t>Proagoderus</t>
  </si>
  <si>
    <t xml:space="preserve">sapphirinus   </t>
  </si>
  <si>
    <t>STL-10098</t>
  </si>
  <si>
    <t>98_STL10098</t>
  </si>
  <si>
    <t>AAGAGATC</t>
  </si>
  <si>
    <t>id-121</t>
  </si>
  <si>
    <t>Onitis</t>
  </si>
  <si>
    <t xml:space="preserve">caffer   </t>
  </si>
  <si>
    <t>STL-10042</t>
  </si>
  <si>
    <t>42_STL10042</t>
  </si>
  <si>
    <t>GCTAACGA</t>
  </si>
  <si>
    <t>id-122</t>
  </si>
  <si>
    <t xml:space="preserve">oberthuri   </t>
  </si>
  <si>
    <t>STL-10144</t>
  </si>
  <si>
    <t>144_STL10144</t>
  </si>
  <si>
    <t>AATCCGTC</t>
  </si>
  <si>
    <t>id-123</t>
  </si>
  <si>
    <t xml:space="preserve">sp6   </t>
  </si>
  <si>
    <t>STL-10200</t>
  </si>
  <si>
    <t>200_STL10200</t>
  </si>
  <si>
    <t>CAACCACA</t>
  </si>
  <si>
    <t>id-124</t>
  </si>
  <si>
    <t xml:space="preserve">Bicornonthophagus interstitialis  </t>
  </si>
  <si>
    <t>STL-10081</t>
  </si>
  <si>
    <t>81_STL10081</t>
  </si>
  <si>
    <t>CTAAGGTC</t>
  </si>
  <si>
    <t>id-125</t>
  </si>
  <si>
    <t xml:space="preserve">aff antoetrae  </t>
  </si>
  <si>
    <t>STL-10180</t>
  </si>
  <si>
    <t>180_STL10180</t>
  </si>
  <si>
    <t>AAGGACAC</t>
  </si>
  <si>
    <t>id-126</t>
  </si>
  <si>
    <t xml:space="preserve">Palaeonthophagus gibbulus  </t>
  </si>
  <si>
    <t>STL-10133</t>
  </si>
  <si>
    <t>133_STL10133</t>
  </si>
  <si>
    <t>CCGACAAC</t>
  </si>
  <si>
    <t>id-127</t>
  </si>
  <si>
    <t xml:space="preserve">rudicollis   </t>
  </si>
  <si>
    <t>STL-10173</t>
  </si>
  <si>
    <t>173_STL10173</t>
  </si>
  <si>
    <t>id-128</t>
  </si>
  <si>
    <t xml:space="preserve">aff ambohitsitondronensi  </t>
  </si>
  <si>
    <t>STL-10140</t>
  </si>
  <si>
    <t>140_STL10140</t>
  </si>
  <si>
    <t>CGACACAC</t>
  </si>
  <si>
    <t>id-129</t>
  </si>
  <si>
    <t xml:space="preserve">sl borneensis  </t>
  </si>
  <si>
    <t>STL-10306</t>
  </si>
  <si>
    <t>Borne_STL10306</t>
  </si>
  <si>
    <t>CCTAATCC</t>
  </si>
  <si>
    <t>id-130</t>
  </si>
  <si>
    <t>Phalops</t>
  </si>
  <si>
    <t xml:space="preserve">flavocinctus   </t>
  </si>
  <si>
    <t>STL-10045</t>
  </si>
  <si>
    <t>45_STL10045</t>
  </si>
  <si>
    <t>ACGCTCGA</t>
  </si>
  <si>
    <t>id-131</t>
  </si>
  <si>
    <t>Hexodon</t>
  </si>
  <si>
    <t>STL-10313</t>
  </si>
  <si>
    <t>DYN_STL10313</t>
  </si>
  <si>
    <t>GAGTTAGC</t>
  </si>
  <si>
    <t>id-132</t>
  </si>
  <si>
    <t>Orphninae</t>
  </si>
  <si>
    <t>STL-10310</t>
  </si>
  <si>
    <t>ORPH_STL10310</t>
  </si>
  <si>
    <t>CATACCAA</t>
  </si>
  <si>
    <t>id-133</t>
  </si>
  <si>
    <t xml:space="preserve">hippias   </t>
  </si>
  <si>
    <t>STL-10117</t>
  </si>
  <si>
    <t>117_STL10117</t>
  </si>
  <si>
    <t>CTGAGCCA</t>
  </si>
  <si>
    <t>id-134</t>
  </si>
  <si>
    <t xml:space="preserve">Paraphanaeomorphus aff phanaeiformis </t>
  </si>
  <si>
    <t>STL-10113</t>
  </si>
  <si>
    <t>113_STL10113</t>
  </si>
  <si>
    <t>AGTGGTCA</t>
  </si>
  <si>
    <t>id-135</t>
  </si>
  <si>
    <t xml:space="preserve">quadrimaculatus   </t>
  </si>
  <si>
    <t>STL-10139</t>
  </si>
  <si>
    <t>139_STL10139</t>
  </si>
  <si>
    <t>AGAGTCAA</t>
  </si>
  <si>
    <t>id-136</t>
  </si>
  <si>
    <t xml:space="preserve">vadoni   </t>
  </si>
  <si>
    <t>STL-10135</t>
  </si>
  <si>
    <t>135_STL10135</t>
  </si>
  <si>
    <t>AGATGTAC</t>
  </si>
  <si>
    <t>id-137</t>
  </si>
  <si>
    <t>Scaptocnemis</t>
  </si>
  <si>
    <t xml:space="preserve">segregis   </t>
  </si>
  <si>
    <t>STL-10251</t>
  </si>
  <si>
    <t>Scapto_STL10251</t>
  </si>
  <si>
    <t>AGCCATGC</t>
  </si>
  <si>
    <t>id-138</t>
  </si>
  <si>
    <t xml:space="preserve">n sp1  </t>
  </si>
  <si>
    <t>STL-10210</t>
  </si>
  <si>
    <t>210_STL10210</t>
  </si>
  <si>
    <t>id-139</t>
  </si>
  <si>
    <t xml:space="preserve">cf molossus  </t>
  </si>
  <si>
    <t>STL-10120</t>
  </si>
  <si>
    <t>120_STL10120</t>
  </si>
  <si>
    <t>id-140</t>
  </si>
  <si>
    <t xml:space="preserve">flagellatus   </t>
  </si>
  <si>
    <t>STL-10118</t>
  </si>
  <si>
    <t>118_STL10118</t>
  </si>
  <si>
    <t>GAATCTGA</t>
  </si>
  <si>
    <t>id-141</t>
  </si>
  <si>
    <t>Pachylomera</t>
  </si>
  <si>
    <t xml:space="preserve">femoralis   </t>
  </si>
  <si>
    <t>STL-10128</t>
  </si>
  <si>
    <t>128_STL10128</t>
  </si>
  <si>
    <t>GCGAGTAA</t>
  </si>
  <si>
    <t>id-142</t>
  </si>
  <si>
    <t xml:space="preserve">Parascatonomus tricornis  </t>
  </si>
  <si>
    <t>STL-10111</t>
  </si>
  <si>
    <t>111_STL10111</t>
  </si>
  <si>
    <t>TGGCTTCA</t>
  </si>
  <si>
    <t>id-143</t>
  </si>
  <si>
    <t xml:space="preserve">sp10   </t>
  </si>
  <si>
    <t>STL-10206</t>
  </si>
  <si>
    <t>206_STL10206</t>
  </si>
  <si>
    <t>CACCTTAC</t>
  </si>
  <si>
    <t>id-144</t>
  </si>
  <si>
    <t xml:space="preserve">cf lanista  </t>
  </si>
  <si>
    <t>STL-10079</t>
  </si>
  <si>
    <t>79_STL10079</t>
  </si>
  <si>
    <t>AGTACAAG</t>
  </si>
  <si>
    <t>id-145</t>
  </si>
  <si>
    <t xml:space="preserve">sl giraffa  </t>
  </si>
  <si>
    <t>STL-10130</t>
  </si>
  <si>
    <t>130_STL10130</t>
  </si>
  <si>
    <t>ACGTATCA</t>
  </si>
  <si>
    <t>id-146</t>
  </si>
  <si>
    <t>Pachysoma</t>
  </si>
  <si>
    <t xml:space="preserve">hippocrates   </t>
  </si>
  <si>
    <t>STL-10127</t>
  </si>
  <si>
    <t>127_STL10127</t>
  </si>
  <si>
    <t>id-147</t>
  </si>
  <si>
    <t xml:space="preserve">sl leucopygus  </t>
  </si>
  <si>
    <t>STL-10100</t>
  </si>
  <si>
    <t>100_STL10100</t>
  </si>
  <si>
    <t>AACTCACC</t>
  </si>
  <si>
    <t>id-148</t>
  </si>
  <si>
    <t>Cheironitis</t>
  </si>
  <si>
    <t xml:space="preserve">scabrosus   </t>
  </si>
  <si>
    <t>STL-10096</t>
  </si>
  <si>
    <t>96_STL10096</t>
  </si>
  <si>
    <t>TTCACGCA</t>
  </si>
  <si>
    <t>id-149</t>
  </si>
  <si>
    <t>Hybosoridae</t>
  </si>
  <si>
    <t xml:space="preserve">sp1 Madagascar  </t>
  </si>
  <si>
    <t>STL-10311</t>
  </si>
  <si>
    <t>HYBM_STL10311</t>
  </si>
  <si>
    <t>id-150</t>
  </si>
  <si>
    <t xml:space="preserve">sp5   </t>
  </si>
  <si>
    <t>STL-10217</t>
  </si>
  <si>
    <t>217_STL10217</t>
  </si>
  <si>
    <t>GCCAAGAC</t>
  </si>
  <si>
    <t>id-151</t>
  </si>
  <si>
    <t>Garreta</t>
  </si>
  <si>
    <t xml:space="preserve">unicolor   </t>
  </si>
  <si>
    <t>STL-10077</t>
  </si>
  <si>
    <t>77_STL10077</t>
  </si>
  <si>
    <t>CGCATACA</t>
  </si>
  <si>
    <t>id-152</t>
  </si>
  <si>
    <t xml:space="preserve">aff morio group </t>
  </si>
  <si>
    <t>STL-10184</t>
  </si>
  <si>
    <t>184_STL10184</t>
  </si>
  <si>
    <t>id-153</t>
  </si>
  <si>
    <t>STL-10186</t>
  </si>
  <si>
    <t>186_STL10186</t>
  </si>
  <si>
    <t>CCTCTATC</t>
  </si>
  <si>
    <t>id-154</t>
  </si>
  <si>
    <t>Pycnopanelus</t>
  </si>
  <si>
    <t xml:space="preserve">krikkeni   </t>
  </si>
  <si>
    <t>STL-10076</t>
  </si>
  <si>
    <t>76_STL10076</t>
  </si>
  <si>
    <t>AATGTTGC</t>
  </si>
  <si>
    <t>id-155</t>
  </si>
  <si>
    <t xml:space="preserve">aff rubrosignatus  </t>
  </si>
  <si>
    <t>STL-10142</t>
  </si>
  <si>
    <t>142_STL10142</t>
  </si>
  <si>
    <t>AACGCTTA</t>
  </si>
  <si>
    <t>id-156</t>
  </si>
  <si>
    <t xml:space="preserve">sl laevis  </t>
  </si>
  <si>
    <t>STL-10302</t>
  </si>
  <si>
    <t>Laevis_STL10302</t>
  </si>
  <si>
    <t>CCATCCTC</t>
  </si>
  <si>
    <t>id-157</t>
  </si>
  <si>
    <t>Heliocopris</t>
  </si>
  <si>
    <t>STL-10292</t>
  </si>
  <si>
    <t>12720_STL10292</t>
  </si>
  <si>
    <t>CAGCGTTA</t>
  </si>
  <si>
    <t>id-158</t>
  </si>
  <si>
    <t>Euoniticellus</t>
  </si>
  <si>
    <t xml:space="preserve">fulvus   </t>
  </si>
  <si>
    <t>STL-10132</t>
  </si>
  <si>
    <t>132_STL10132</t>
  </si>
  <si>
    <t>GATGAATC</t>
  </si>
  <si>
    <t>id-159</t>
  </si>
  <si>
    <t xml:space="preserve">aff mirjae  </t>
  </si>
  <si>
    <t>STL-10189</t>
  </si>
  <si>
    <t>189_STL10189</t>
  </si>
  <si>
    <t>GTACGCAA</t>
  </si>
  <si>
    <t>id-160</t>
  </si>
  <si>
    <t xml:space="preserve">Serrophorus seniculus  </t>
  </si>
  <si>
    <t>STL-10110</t>
  </si>
  <si>
    <t>110_STL10110</t>
  </si>
  <si>
    <t>ACTTGGCT</t>
  </si>
  <si>
    <t>id-161</t>
  </si>
  <si>
    <t xml:space="preserve">furcicornis   </t>
  </si>
  <si>
    <t>STL-10169</t>
  </si>
  <si>
    <t>169_STL10169</t>
  </si>
  <si>
    <t>ACGTCGTT</t>
  </si>
  <si>
    <t>id-162</t>
  </si>
  <si>
    <t xml:space="preserve">sl vulpes  </t>
  </si>
  <si>
    <t>STL-10307</t>
  </si>
  <si>
    <t>Vulpe_STL10307</t>
  </si>
  <si>
    <t>CAATCAGG</t>
  </si>
  <si>
    <t>id-163</t>
  </si>
  <si>
    <t>Anonychonitis</t>
  </si>
  <si>
    <t xml:space="preserve">freyi   </t>
  </si>
  <si>
    <t>STL-10095</t>
  </si>
  <si>
    <t>95_STL10095</t>
  </si>
  <si>
    <t>GTGTGTTC</t>
  </si>
  <si>
    <t>id-164</t>
  </si>
  <si>
    <t>Hammondantus</t>
  </si>
  <si>
    <t xml:space="preserve">psammophilus   </t>
  </si>
  <si>
    <t>STL-10047</t>
  </si>
  <si>
    <t>47_STL10047</t>
  </si>
  <si>
    <t>id-165</t>
  </si>
  <si>
    <t xml:space="preserve">sp3   </t>
  </si>
  <si>
    <t>STL-10218</t>
  </si>
  <si>
    <t>218_STL10218</t>
  </si>
  <si>
    <t>GAAGTGCT</t>
  </si>
  <si>
    <t>id-166</t>
  </si>
  <si>
    <t xml:space="preserve">cf muelleri  </t>
  </si>
  <si>
    <t>STL-10298</t>
  </si>
  <si>
    <t>Muell_STL10298</t>
  </si>
  <si>
    <t>id-167</t>
  </si>
  <si>
    <t>STL-10244</t>
  </si>
  <si>
    <t>A20VA_STL10244</t>
  </si>
  <si>
    <t>AGCTTCAG</t>
  </si>
  <si>
    <t>id-168</t>
  </si>
  <si>
    <t>Paragymnopleurus</t>
  </si>
  <si>
    <t>STL-10293</t>
  </si>
  <si>
    <t>12722_STL10293</t>
  </si>
  <si>
    <t>GATCCACT</t>
  </si>
  <si>
    <t>id-169</t>
  </si>
  <si>
    <t xml:space="preserve">Onthophagiellus cf sp1 </t>
  </si>
  <si>
    <t>STL-10304</t>
  </si>
  <si>
    <t>Giellus1_STL10304</t>
  </si>
  <si>
    <t>ACCGAATG</t>
  </si>
  <si>
    <t>id-170</t>
  </si>
  <si>
    <t xml:space="preserve">Gibbonthophagus rectecornutus  </t>
  </si>
  <si>
    <t>STL-10114</t>
  </si>
  <si>
    <t>114_STL10114</t>
  </si>
  <si>
    <t>id-171</t>
  </si>
  <si>
    <t xml:space="preserve">sp11   </t>
  </si>
  <si>
    <t>STL-10207</t>
  </si>
  <si>
    <t>207_STL10207</t>
  </si>
  <si>
    <t>CGCGTATT</t>
  </si>
  <si>
    <t>id-172</t>
  </si>
  <si>
    <t xml:space="preserve">Sunenaga streltsovi cf </t>
  </si>
  <si>
    <t>STL-10303</t>
  </si>
  <si>
    <t>Sune2_STL10303</t>
  </si>
  <si>
    <t>id-173</t>
  </si>
  <si>
    <t xml:space="preserve">Hikidaeus waterstradti  </t>
  </si>
  <si>
    <t>STL-10308</t>
  </si>
  <si>
    <t>Water_STL10308</t>
  </si>
  <si>
    <t>id-174</t>
  </si>
  <si>
    <t>Synapsis</t>
  </si>
  <si>
    <t>STL-10129</t>
  </si>
  <si>
    <t>129_STL10129</t>
  </si>
  <si>
    <t>id-175</t>
  </si>
  <si>
    <t>Macroderes</t>
  </si>
  <si>
    <t>STL-10328</t>
  </si>
  <si>
    <t>62_STL10328</t>
  </si>
  <si>
    <t>id-176</t>
  </si>
  <si>
    <t>Copridaspidus</t>
  </si>
  <si>
    <t xml:space="preserve">peregrinus   </t>
  </si>
  <si>
    <t>STL-10258</t>
  </si>
  <si>
    <t>COPP_STL10258</t>
  </si>
  <si>
    <t>CGAGAGAA</t>
  </si>
  <si>
    <t>id-177</t>
  </si>
  <si>
    <t xml:space="preserve">alexis   </t>
  </si>
  <si>
    <t>STL-10041</t>
  </si>
  <si>
    <t>41_STL10041</t>
  </si>
  <si>
    <t>ACTCCTAC</t>
  </si>
  <si>
    <t>id-178</t>
  </si>
  <si>
    <t>STL-10271</t>
  </si>
  <si>
    <t>67_STL10271</t>
  </si>
  <si>
    <t>id-179</t>
  </si>
  <si>
    <t xml:space="preserve">bicoloratus   </t>
  </si>
  <si>
    <t>STL-10155</t>
  </si>
  <si>
    <t>155_STL10155</t>
  </si>
  <si>
    <t>GTTCCATG</t>
  </si>
  <si>
    <t>id-180</t>
  </si>
  <si>
    <t>STL-10202</t>
  </si>
  <si>
    <t>202_STL10202</t>
  </si>
  <si>
    <t>id-181</t>
  </si>
  <si>
    <t xml:space="preserve">hanskii   </t>
  </si>
  <si>
    <t>STL-10247</t>
  </si>
  <si>
    <t>A25HA_STL10247</t>
  </si>
  <si>
    <t>CTCTATCG</t>
  </si>
  <si>
    <t>id-182</t>
  </si>
  <si>
    <t xml:space="preserve">Pseudophanaeomorphus quasijohkii aff  </t>
  </si>
  <si>
    <t>STL-10299</t>
  </si>
  <si>
    <t>Quasi_STL10299</t>
  </si>
  <si>
    <t>GCTGTAAG</t>
  </si>
  <si>
    <t>id-183</t>
  </si>
  <si>
    <t>Paraphytus</t>
  </si>
  <si>
    <t xml:space="preserve">cf hindu  </t>
  </si>
  <si>
    <t>STL-10093</t>
  </si>
  <si>
    <t>93_STL10093</t>
  </si>
  <si>
    <t>CTAACCTG</t>
  </si>
  <si>
    <t>id-184</t>
  </si>
  <si>
    <t xml:space="preserve">nigricans   </t>
  </si>
  <si>
    <t>STL-10238</t>
  </si>
  <si>
    <t>A10NI_STL10238</t>
  </si>
  <si>
    <t>id-185</t>
  </si>
  <si>
    <t xml:space="preserve">splendidus cf delphinensis  </t>
  </si>
  <si>
    <t>STL-10185</t>
  </si>
  <si>
    <t>185_STL10185</t>
  </si>
  <si>
    <t>TGGATGGT</t>
  </si>
  <si>
    <t>id-186</t>
  </si>
  <si>
    <t xml:space="preserve">sp8   </t>
  </si>
  <si>
    <t>STL-10204</t>
  </si>
  <si>
    <t>204_STL10204</t>
  </si>
  <si>
    <t>id-187</t>
  </si>
  <si>
    <t xml:space="preserve">aff viridissimus  </t>
  </si>
  <si>
    <t>STL-10191</t>
  </si>
  <si>
    <t>191_STL10191</t>
  </si>
  <si>
    <t>id-188</t>
  </si>
  <si>
    <t xml:space="preserve">aff planatus  </t>
  </si>
  <si>
    <t>STL-10187</t>
  </si>
  <si>
    <t>187_STL10187</t>
  </si>
  <si>
    <t>TGAGACGA</t>
  </si>
  <si>
    <t>id-189</t>
  </si>
  <si>
    <t xml:space="preserve">aff saprinoides  </t>
  </si>
  <si>
    <t>STL-10195</t>
  </si>
  <si>
    <t>195_STL10195</t>
  </si>
  <si>
    <t>id-190</t>
  </si>
  <si>
    <t>Macronthophagus</t>
  </si>
  <si>
    <t xml:space="preserve">diabolicus   </t>
  </si>
  <si>
    <t>STL-10291</t>
  </si>
  <si>
    <t>12724_STL10291</t>
  </si>
  <si>
    <t>TCTAGGAG</t>
  </si>
  <si>
    <t>id-191</t>
  </si>
  <si>
    <t xml:space="preserve">sl vinctus  </t>
  </si>
  <si>
    <t>STL-10080</t>
  </si>
  <si>
    <t>80_STL10080</t>
  </si>
  <si>
    <t>GTAGTACC</t>
  </si>
  <si>
    <t>id-192</t>
  </si>
  <si>
    <t xml:space="preserve">viettei   </t>
  </si>
  <si>
    <t>STL-10241</t>
  </si>
  <si>
    <t>A15VI_STL10241</t>
  </si>
  <si>
    <t>GATGCTAC</t>
  </si>
  <si>
    <t>id-193</t>
  </si>
  <si>
    <t xml:space="preserve">aff semilissus  </t>
  </si>
  <si>
    <t>STL-10181</t>
  </si>
  <si>
    <t>181_STL10181</t>
  </si>
  <si>
    <t>ATAGTCGG</t>
  </si>
  <si>
    <t>id-194</t>
  </si>
  <si>
    <t>Amietina</t>
  </si>
  <si>
    <t xml:space="preserve">larrochei   </t>
  </si>
  <si>
    <t>STL-10208</t>
  </si>
  <si>
    <t>208_STL10208</t>
  </si>
  <si>
    <t>GTCAACAG</t>
  </si>
  <si>
    <t>id-195</t>
  </si>
  <si>
    <t xml:space="preserve">aff metallicus  </t>
  </si>
  <si>
    <t>STL-10160</t>
  </si>
  <si>
    <t>160_STL10160</t>
  </si>
  <si>
    <t>id-196</t>
  </si>
  <si>
    <t xml:space="preserve">steineri   </t>
  </si>
  <si>
    <t>STL-10264</t>
  </si>
  <si>
    <t>A31ST_STL10264</t>
  </si>
  <si>
    <t>CGATTCTG</t>
  </si>
  <si>
    <t>id-197</t>
  </si>
  <si>
    <t>Epactoides</t>
  </si>
  <si>
    <t xml:space="preserve">jounii   </t>
  </si>
  <si>
    <t>STL-10192</t>
  </si>
  <si>
    <t>192_STL10192</t>
  </si>
  <si>
    <t>CGGAGTAT</t>
  </si>
  <si>
    <t>id-198</t>
  </si>
  <si>
    <t xml:space="preserve">perinetensis   </t>
  </si>
  <si>
    <t>STL-10161</t>
  </si>
  <si>
    <t>161_STL10161</t>
  </si>
  <si>
    <t>GTGAGACT</t>
  </si>
  <si>
    <t>id-199</t>
  </si>
  <si>
    <t xml:space="preserve">foveatus   </t>
  </si>
  <si>
    <t>STL-10040</t>
  </si>
  <si>
    <t>40_STL10040</t>
  </si>
  <si>
    <t>GGACTACT</t>
  </si>
  <si>
    <t>id-200</t>
  </si>
  <si>
    <t xml:space="preserve">aff humeralis  </t>
  </si>
  <si>
    <t>STL-10190</t>
  </si>
  <si>
    <t>190_STL10190</t>
  </si>
  <si>
    <t>AGAGGATG</t>
  </si>
  <si>
    <t>id-201</t>
  </si>
  <si>
    <t>Liatongus</t>
  </si>
  <si>
    <t>STL-10290</t>
  </si>
  <si>
    <t>12727_STL10290</t>
  </si>
  <si>
    <t>TGTGGCTT</t>
  </si>
  <si>
    <t>id-202</t>
  </si>
  <si>
    <t xml:space="preserve">olsoufieffi   </t>
  </si>
  <si>
    <t>STL-10141</t>
  </si>
  <si>
    <t>141_STL10141</t>
  </si>
  <si>
    <t>id-203</t>
  </si>
  <si>
    <t>Cleptocaccobius</t>
  </si>
  <si>
    <t xml:space="preserve">viridicollis   </t>
  </si>
  <si>
    <t>STL-10099</t>
  </si>
  <si>
    <t>99_STL10099</t>
  </si>
  <si>
    <t>id-204</t>
  </si>
  <si>
    <t xml:space="preserve">sp4   </t>
  </si>
  <si>
    <t>STL-10215</t>
  </si>
  <si>
    <t>215_STL10215</t>
  </si>
  <si>
    <t>ACTGCACT</t>
  </si>
  <si>
    <t>id-205</t>
  </si>
  <si>
    <t xml:space="preserve">saprinoides   </t>
  </si>
  <si>
    <t>STL-10143</t>
  </si>
  <si>
    <t>143_STL10143</t>
  </si>
  <si>
    <t>id-206</t>
  </si>
  <si>
    <t>Circellium</t>
  </si>
  <si>
    <t xml:space="preserve">bacchus   </t>
  </si>
  <si>
    <t>STL-10270</t>
  </si>
  <si>
    <t>66_STL10270</t>
  </si>
  <si>
    <t>GCAATTCC</t>
  </si>
  <si>
    <t>id-207</t>
  </si>
  <si>
    <t xml:space="preserve">mabuensis n sp </t>
  </si>
  <si>
    <t>STL-10102</t>
  </si>
  <si>
    <t>102_STL10102</t>
  </si>
  <si>
    <t>id-208</t>
  </si>
  <si>
    <t>Gymnopleurus</t>
  </si>
  <si>
    <t xml:space="preserve">aenescens   </t>
  </si>
  <si>
    <t>STL-10097</t>
  </si>
  <si>
    <t>97_STL10097</t>
  </si>
  <si>
    <t>id-209</t>
  </si>
  <si>
    <t xml:space="preserve">Micronthophagus sp1  </t>
  </si>
  <si>
    <t>STL-10115</t>
  </si>
  <si>
    <t>115_STL10115</t>
  </si>
  <si>
    <t>AATCGCTG</t>
  </si>
  <si>
    <t>id-210</t>
  </si>
  <si>
    <t>STL-10162</t>
  </si>
  <si>
    <t>162_STL10162</t>
  </si>
  <si>
    <t>CACGATTC</t>
  </si>
  <si>
    <t>id-211</t>
  </si>
  <si>
    <t>Eusaproecius</t>
  </si>
  <si>
    <t>STL-10256</t>
  </si>
  <si>
    <t>Eusap_STL10256</t>
  </si>
  <si>
    <t>CTACATCC</t>
  </si>
  <si>
    <t>id-212</t>
  </si>
  <si>
    <t>STL-10157</t>
  </si>
  <si>
    <t>157_STL10157</t>
  </si>
  <si>
    <t>AGTGCATC</t>
  </si>
  <si>
    <t>id-213</t>
  </si>
  <si>
    <t xml:space="preserve">aff sparsepunctatus  </t>
  </si>
  <si>
    <t>STL-10198</t>
  </si>
  <si>
    <t>198_STL10198</t>
  </si>
  <si>
    <t>TGCTGTGA</t>
  </si>
  <si>
    <t>id-214</t>
  </si>
  <si>
    <t xml:space="preserve">sp2 Laos  </t>
  </si>
  <si>
    <t>STL-10312</t>
  </si>
  <si>
    <t>HYBL_STL10312</t>
  </si>
  <si>
    <t>CAACTTGG</t>
  </si>
  <si>
    <t>id-215</t>
  </si>
  <si>
    <t xml:space="preserve">aff latipennis  </t>
  </si>
  <si>
    <t>STL-10197</t>
  </si>
  <si>
    <t>197_STL10197</t>
  </si>
  <si>
    <t>id-216</t>
  </si>
  <si>
    <t>Kurtops</t>
  </si>
  <si>
    <t xml:space="preserve">signatus   </t>
  </si>
  <si>
    <t>STL-10043</t>
  </si>
  <si>
    <t>43_STL10043</t>
  </si>
  <si>
    <t>id-217</t>
  </si>
  <si>
    <t>STL-10147</t>
  </si>
  <si>
    <t>147_STL10147</t>
  </si>
  <si>
    <t>id-218</t>
  </si>
  <si>
    <t>Endroedyolus</t>
  </si>
  <si>
    <t xml:space="preserve">paradoxus   </t>
  </si>
  <si>
    <t>STL-10049</t>
  </si>
  <si>
    <t>49_STL10049</t>
  </si>
  <si>
    <t>id-219</t>
  </si>
  <si>
    <t>STL-10196</t>
  </si>
  <si>
    <t>196_STL10196</t>
  </si>
  <si>
    <t>id-220</t>
  </si>
  <si>
    <t>Apterepilissus</t>
  </si>
  <si>
    <t xml:space="preserve">ovalis   </t>
  </si>
  <si>
    <t>STL-10325</t>
  </si>
  <si>
    <t>A26AO_STL10325</t>
  </si>
  <si>
    <t>id-221</t>
  </si>
  <si>
    <t xml:space="preserve">sl cf quadrimaculatus </t>
  </si>
  <si>
    <t>STL-10046</t>
  </si>
  <si>
    <t>46_STL10046</t>
  </si>
  <si>
    <t>id-222</t>
  </si>
  <si>
    <t>STL-10146</t>
  </si>
  <si>
    <t>146_STL10146</t>
  </si>
  <si>
    <t>id-223</t>
  </si>
  <si>
    <t xml:space="preserve">sp    </t>
  </si>
  <si>
    <t>STL-10216</t>
  </si>
  <si>
    <t>216_STL10216</t>
  </si>
  <si>
    <t>id-224</t>
  </si>
  <si>
    <t>Parascatonomus</t>
  </si>
  <si>
    <t xml:space="preserve">anceyi   </t>
  </si>
  <si>
    <t>STL-10091</t>
  </si>
  <si>
    <t>91_STL10091</t>
  </si>
  <si>
    <t>id-225</t>
  </si>
  <si>
    <t xml:space="preserve">aff Pseudominutus  </t>
  </si>
  <si>
    <t>STL-10156</t>
  </si>
  <si>
    <t>156_STL10156</t>
  </si>
  <si>
    <t>id-226</t>
  </si>
  <si>
    <t xml:space="preserve">aff Lissus  </t>
  </si>
  <si>
    <t>STL-10134</t>
  </si>
  <si>
    <t>134_STL10134</t>
  </si>
  <si>
    <t>id-227</t>
  </si>
  <si>
    <t>Scarabaeolus</t>
  </si>
  <si>
    <t xml:space="preserve">intricatus   </t>
  </si>
  <si>
    <t>STL-10044</t>
  </si>
  <si>
    <t>44_STL10044</t>
  </si>
  <si>
    <t>id-228</t>
  </si>
  <si>
    <t>Coptorhina</t>
  </si>
  <si>
    <t xml:space="preserve">klugii   </t>
  </si>
  <si>
    <t>STL-10039</t>
  </si>
  <si>
    <t>39_STL10039</t>
  </si>
  <si>
    <t>id-229</t>
  </si>
  <si>
    <t xml:space="preserve">semiaeneus   </t>
  </si>
  <si>
    <t>STL-10136</t>
  </si>
  <si>
    <t>136_STL10136</t>
  </si>
  <si>
    <t>id-230</t>
  </si>
  <si>
    <t xml:space="preserve">Furconthophagus variegatus  </t>
  </si>
  <si>
    <t>STL-10083</t>
  </si>
  <si>
    <t>83_STL10083</t>
  </si>
  <si>
    <t>TGGAACAA</t>
  </si>
  <si>
    <t>id-231</t>
  </si>
  <si>
    <t xml:space="preserve">cf inexpectatus  </t>
  </si>
  <si>
    <t>STL-10103</t>
  </si>
  <si>
    <t>103_STL10103</t>
  </si>
  <si>
    <t>id-232</t>
  </si>
  <si>
    <t>STL-10145</t>
  </si>
  <si>
    <t>145_STL10145</t>
  </si>
  <si>
    <t>id-233</t>
  </si>
  <si>
    <t>STL-10321</t>
  </si>
  <si>
    <t>51_STL10321</t>
  </si>
  <si>
    <t>id-234</t>
  </si>
  <si>
    <t xml:space="preserve">armatus   </t>
  </si>
  <si>
    <t>STL-10322</t>
  </si>
  <si>
    <t>56_STL10322</t>
  </si>
  <si>
    <t>id-235</t>
  </si>
  <si>
    <t>STL-10323</t>
  </si>
  <si>
    <t>36_STL10323</t>
  </si>
  <si>
    <t>TCCGTCTA</t>
  </si>
  <si>
    <t>id-236</t>
  </si>
  <si>
    <t xml:space="preserve">mangabeensis   </t>
  </si>
  <si>
    <t>STL-10154</t>
  </si>
  <si>
    <t>154_STL10154</t>
  </si>
  <si>
    <t>id-237</t>
  </si>
  <si>
    <t xml:space="preserve">sl lamelliger  </t>
  </si>
  <si>
    <t>STL-10131</t>
  </si>
  <si>
    <t>131_STL10131</t>
  </si>
  <si>
    <t>id-238</t>
  </si>
  <si>
    <t xml:space="preserve">aff robinsoni  </t>
  </si>
  <si>
    <t>STL-10194</t>
  </si>
  <si>
    <t>194_STL10194</t>
  </si>
  <si>
    <t>id-239</t>
  </si>
  <si>
    <t>STL-10294</t>
  </si>
  <si>
    <t>12702_STL10294</t>
  </si>
  <si>
    <t>id-240</t>
  </si>
  <si>
    <t>STL-10153</t>
  </si>
  <si>
    <t>153_STL10153</t>
  </si>
  <si>
    <t>GCCACATA</t>
  </si>
  <si>
    <t>id-241</t>
  </si>
  <si>
    <t>Dwesasilvasedis</t>
  </si>
  <si>
    <t xml:space="preserve">medinae   </t>
  </si>
  <si>
    <t>STL-10265</t>
  </si>
  <si>
    <t>63a_STL10265</t>
  </si>
  <si>
    <t>id-242</t>
  </si>
  <si>
    <t>Odontoloma</t>
  </si>
  <si>
    <t xml:space="preserve">planatum   </t>
  </si>
  <si>
    <t>STL-10048</t>
  </si>
  <si>
    <t>48_STL10048</t>
  </si>
  <si>
    <t>ATAGCGAC</t>
  </si>
  <si>
    <t>id-243</t>
  </si>
  <si>
    <t xml:space="preserve">aff major  </t>
  </si>
  <si>
    <t>STL-10163</t>
  </si>
  <si>
    <t>163_STL10163</t>
  </si>
  <si>
    <t>CGCTGATC</t>
  </si>
  <si>
    <t>id-244</t>
  </si>
  <si>
    <t xml:space="preserve">sl baeri  </t>
  </si>
  <si>
    <t>STL-10084</t>
  </si>
  <si>
    <t>84_STL10084</t>
  </si>
  <si>
    <t>GAGCTGAA</t>
  </si>
  <si>
    <t>id-245</t>
  </si>
  <si>
    <t>Bohepilissus</t>
  </si>
  <si>
    <t>STL-10279</t>
  </si>
  <si>
    <t>58_STL10279</t>
  </si>
  <si>
    <t>id-246</t>
  </si>
  <si>
    <t xml:space="preserve">sstr obscurior  </t>
  </si>
  <si>
    <t>STL-10305</t>
  </si>
  <si>
    <t>Obsc_STL10305</t>
  </si>
  <si>
    <t>id-247</t>
  </si>
  <si>
    <t>STL-10151</t>
  </si>
  <si>
    <t>151_STL10151</t>
  </si>
  <si>
    <t>id-248</t>
  </si>
  <si>
    <t>STL-10288</t>
  </si>
  <si>
    <t>43_STL10288</t>
  </si>
  <si>
    <t>id-249</t>
  </si>
  <si>
    <t xml:space="preserve">sp sp1  </t>
  </si>
  <si>
    <t>STL-10075</t>
  </si>
  <si>
    <t>75_STL10075</t>
  </si>
  <si>
    <t>id-250</t>
  </si>
  <si>
    <t xml:space="preserve">binodulus   </t>
  </si>
  <si>
    <t>STL-10300</t>
  </si>
  <si>
    <t>Bino_STL10300</t>
  </si>
  <si>
    <t>id-251</t>
  </si>
  <si>
    <t xml:space="preserve">sl diversus  </t>
  </si>
  <si>
    <t>STL-10245</t>
  </si>
  <si>
    <t>A23CD_STL10245</t>
  </si>
  <si>
    <t>id-252</t>
  </si>
  <si>
    <t xml:space="preserve">aff Semiaeneus  </t>
  </si>
  <si>
    <t>STL-10158</t>
  </si>
  <si>
    <t>158_STL10158</t>
  </si>
  <si>
    <t>id-253</t>
  </si>
  <si>
    <t>Dicranocara</t>
  </si>
  <si>
    <t xml:space="preserve">deschodti   </t>
  </si>
  <si>
    <t>STL-10269</t>
  </si>
  <si>
    <t>55_STL10269</t>
  </si>
  <si>
    <t>CACTTCGA</t>
  </si>
  <si>
    <t>id-254</t>
  </si>
  <si>
    <t xml:space="preserve">sl pilosus  </t>
  </si>
  <si>
    <t>STL-10101</t>
  </si>
  <si>
    <t>101_STL10101</t>
  </si>
  <si>
    <t>GCTCGGTA</t>
  </si>
  <si>
    <t>id-255</t>
  </si>
  <si>
    <t xml:space="preserve">aff Bicoloratus  </t>
  </si>
  <si>
    <t>STL-10137</t>
  </si>
  <si>
    <t>137_STL10137</t>
  </si>
  <si>
    <t>AGCAGGAA</t>
  </si>
  <si>
    <t>id-256</t>
  </si>
  <si>
    <t>Haroldius</t>
  </si>
  <si>
    <t>STL-10273</t>
  </si>
  <si>
    <t>84_STL10273</t>
  </si>
  <si>
    <t>id-257</t>
  </si>
  <si>
    <t xml:space="preserve">fulgens   </t>
  </si>
  <si>
    <t>STL-10168</t>
  </si>
  <si>
    <t>168_STL10168</t>
  </si>
  <si>
    <t>id-258</t>
  </si>
  <si>
    <t xml:space="preserve">sl batillifer  </t>
  </si>
  <si>
    <t>STL-10301</t>
  </si>
  <si>
    <t>Bati_STL10301</t>
  </si>
  <si>
    <t>id-259</t>
  </si>
  <si>
    <t>STL-10092</t>
  </si>
  <si>
    <t>92_STL10092</t>
  </si>
  <si>
    <t>AACCGAGA</t>
  </si>
  <si>
    <t>id-260</t>
  </si>
  <si>
    <t>Megalonitis</t>
  </si>
  <si>
    <t xml:space="preserve">bohemani   </t>
  </si>
  <si>
    <t>STL-10318</t>
  </si>
  <si>
    <t>MEGAB_STL10318</t>
  </si>
  <si>
    <t>ACACAGAA</t>
  </si>
  <si>
    <t>id-261</t>
  </si>
  <si>
    <t>STL-10266</t>
  </si>
  <si>
    <t>30_STL10266</t>
  </si>
  <si>
    <t>id-262</t>
  </si>
  <si>
    <t>Byrrhidium</t>
  </si>
  <si>
    <t xml:space="preserve">namaquensis   </t>
  </si>
  <si>
    <t>STL-10268</t>
  </si>
  <si>
    <t>54_STL10268</t>
  </si>
  <si>
    <t>id-263</t>
  </si>
  <si>
    <t xml:space="preserve">Euonthophagus flavimargo  </t>
  </si>
  <si>
    <t>STL-10109</t>
  </si>
  <si>
    <t>109_STL10109</t>
  </si>
  <si>
    <t>id-264</t>
  </si>
  <si>
    <t>sl sp1 cf gr</t>
  </si>
  <si>
    <t>STL-10315</t>
  </si>
  <si>
    <t>ONTHM_STL10315</t>
  </si>
  <si>
    <t>id-265</t>
  </si>
  <si>
    <t xml:space="preserve">dentilabris   </t>
  </si>
  <si>
    <t>STL10004</t>
  </si>
  <si>
    <t>Xiden_STL10004</t>
  </si>
  <si>
    <t>id-266</t>
  </si>
  <si>
    <t xml:space="preserve">peyrierasi   </t>
  </si>
  <si>
    <t>STL5021</t>
  </si>
  <si>
    <t>Hepey_STL5021</t>
  </si>
  <si>
    <t>id-267</t>
  </si>
  <si>
    <t xml:space="preserve">pipitzi   </t>
  </si>
  <si>
    <t>STL5018</t>
  </si>
  <si>
    <t>Onpip_STL5018</t>
  </si>
  <si>
    <t>AACCTACG</t>
  </si>
  <si>
    <t>id-268</t>
  </si>
  <si>
    <t>STL5017</t>
  </si>
  <si>
    <t>Epac1_STL5017</t>
  </si>
  <si>
    <t>TTGCAACG</t>
  </si>
  <si>
    <t>id-269</t>
  </si>
  <si>
    <t xml:space="preserve">sicardi   </t>
  </si>
  <si>
    <t>STL5019</t>
  </si>
  <si>
    <t>Hesic_STL5019</t>
  </si>
  <si>
    <t>id-270</t>
  </si>
  <si>
    <t xml:space="preserve">pusillus   </t>
  </si>
  <si>
    <t>STL5015</t>
  </si>
  <si>
    <t>Arpus_STL5015</t>
  </si>
  <si>
    <t>id-271</t>
  </si>
  <si>
    <t>STL5002</t>
  </si>
  <si>
    <t>Nano6_STL5002</t>
  </si>
  <si>
    <t>id-272</t>
  </si>
  <si>
    <t xml:space="preserve">quadripunctatus   </t>
  </si>
  <si>
    <t>STL5027</t>
  </si>
  <si>
    <t>Hequa_STL5027</t>
  </si>
  <si>
    <t>ACTGGTGT</t>
  </si>
  <si>
    <t>id-273</t>
  </si>
  <si>
    <t xml:space="preserve">uncinatus   </t>
  </si>
  <si>
    <t>STL10031</t>
  </si>
  <si>
    <t>Onunc_STL10031</t>
  </si>
  <si>
    <t>TCCTGACT</t>
  </si>
  <si>
    <t>id-274</t>
  </si>
  <si>
    <t xml:space="preserve">apotolamproides   </t>
  </si>
  <si>
    <t>STL5008</t>
  </si>
  <si>
    <t>Epapo_STL5008</t>
  </si>
  <si>
    <t>id-275</t>
  </si>
  <si>
    <t>STL10019</t>
  </si>
  <si>
    <t>Peda2_STL10019</t>
  </si>
  <si>
    <t>id-276</t>
  </si>
  <si>
    <t>STL5012</t>
  </si>
  <si>
    <t>Arac1_STL5012</t>
  </si>
  <si>
    <t>GGTTGAAC</t>
  </si>
  <si>
    <t>id-277</t>
  </si>
  <si>
    <t xml:space="preserve">sp9   </t>
  </si>
  <si>
    <t>STL5004</t>
  </si>
  <si>
    <t>Nano9_STL5004</t>
  </si>
  <si>
    <t>id-278</t>
  </si>
  <si>
    <t>Nesosisyphus</t>
  </si>
  <si>
    <t xml:space="preserve">vicinus   </t>
  </si>
  <si>
    <t>STL-1</t>
  </si>
  <si>
    <t>Nvic_1_STL1</t>
  </si>
  <si>
    <t>id-279</t>
  </si>
  <si>
    <t xml:space="preserve">regnardi   </t>
  </si>
  <si>
    <t>STL-2</t>
  </si>
  <si>
    <t>Nreg_1_STL2</t>
  </si>
  <si>
    <t>id-280</t>
  </si>
  <si>
    <t xml:space="preserve">pygmaeus   </t>
  </si>
  <si>
    <t>STL-3</t>
  </si>
  <si>
    <t>Npyg_1_STL3</t>
  </si>
  <si>
    <t>id-281</t>
  </si>
  <si>
    <t xml:space="preserve">muricatus   </t>
  </si>
  <si>
    <t>STL-5</t>
  </si>
  <si>
    <t>Smur_1_STL5</t>
  </si>
  <si>
    <t>id-282</t>
  </si>
  <si>
    <t xml:space="preserve">umbraphilus   </t>
  </si>
  <si>
    <t>STL-10</t>
  </si>
  <si>
    <t>Sumb_1_STL10</t>
  </si>
  <si>
    <t>id-283</t>
  </si>
  <si>
    <t xml:space="preserve">australis   </t>
  </si>
  <si>
    <t>STL-13</t>
  </si>
  <si>
    <t>Saus_1_STL13</t>
  </si>
  <si>
    <t>id-284</t>
  </si>
  <si>
    <t xml:space="preserve">manni   </t>
  </si>
  <si>
    <t>STL-15</t>
  </si>
  <si>
    <t>Sman_1_STL15</t>
  </si>
  <si>
    <t>id-285</t>
  </si>
  <si>
    <t xml:space="preserve">barbarossa  </t>
  </si>
  <si>
    <t>STL-8</t>
  </si>
  <si>
    <t>Sbar_1_STL8</t>
  </si>
  <si>
    <t>id-286</t>
  </si>
  <si>
    <t xml:space="preserve">infuscatus  </t>
  </si>
  <si>
    <t>STL-14</t>
  </si>
  <si>
    <t>Sinf_1_STL14</t>
  </si>
  <si>
    <t>id-287</t>
  </si>
  <si>
    <t xml:space="preserve">calcaratus  </t>
  </si>
  <si>
    <t>STL-7</t>
  </si>
  <si>
    <t>Scal_1_STL7</t>
  </si>
  <si>
    <t>id-288</t>
  </si>
  <si>
    <t xml:space="preserve">rubrus  </t>
  </si>
  <si>
    <t>STL-12</t>
  </si>
  <si>
    <t>Srub_1_STL12</t>
  </si>
  <si>
    <t>id-289</t>
  </si>
  <si>
    <t xml:space="preserve">mirabilis  </t>
  </si>
  <si>
    <t>STL-11</t>
  </si>
  <si>
    <t>Smir_1_STL11</t>
  </si>
  <si>
    <t>GGCAAGTT</t>
  </si>
  <si>
    <t>id-290</t>
  </si>
  <si>
    <t xml:space="preserve">gazanus   </t>
  </si>
  <si>
    <t>STL-9</t>
  </si>
  <si>
    <t>Sgaz_1_STL9</t>
  </si>
  <si>
    <t>id-291</t>
  </si>
  <si>
    <t xml:space="preserve">inconspicuus   </t>
  </si>
  <si>
    <t>STL-16</t>
  </si>
  <si>
    <t>Sinc_1_STL16</t>
  </si>
  <si>
    <t>id-292</t>
  </si>
  <si>
    <t>Sisyphini</t>
  </si>
  <si>
    <t xml:space="preserve">sp morpho1  </t>
  </si>
  <si>
    <t>STL-18</t>
  </si>
  <si>
    <t>SL1_1_STL18</t>
  </si>
  <si>
    <t>CTCAGAAG</t>
  </si>
  <si>
    <t>id-293</t>
  </si>
  <si>
    <t xml:space="preserve">sp morpho6  </t>
  </si>
  <si>
    <t>STL-23</t>
  </si>
  <si>
    <t>SL6_1_STL23</t>
  </si>
  <si>
    <t>id-294</t>
  </si>
  <si>
    <t xml:space="preserve">sp morpho8  </t>
  </si>
  <si>
    <t>STL-40</t>
  </si>
  <si>
    <t>SL8_1_STL40</t>
  </si>
  <si>
    <t>id-295</t>
  </si>
  <si>
    <t xml:space="preserve">sp morpho 10 </t>
  </si>
  <si>
    <t>STL-42</t>
  </si>
  <si>
    <t>SL10_1_STL42</t>
  </si>
  <si>
    <t>id-296</t>
  </si>
  <si>
    <t>Nesovinsionia</t>
  </si>
  <si>
    <t xml:space="preserve">vinsoni   </t>
  </si>
  <si>
    <t>STL-4</t>
  </si>
  <si>
    <t>Nes_1_STL4</t>
  </si>
  <si>
    <t>id-297</t>
  </si>
  <si>
    <t>STL-34</t>
  </si>
  <si>
    <t>Nes_2_1_STL34</t>
  </si>
  <si>
    <t>AACAAGGC</t>
  </si>
  <si>
    <t>id-298</t>
  </si>
  <si>
    <t>STL-39</t>
  </si>
  <si>
    <t>Apot_2_1_STL39</t>
  </si>
  <si>
    <t>id-299</t>
  </si>
  <si>
    <t>STL-30</t>
  </si>
  <si>
    <t>Nano_1_STL30</t>
  </si>
  <si>
    <t>TCGTGCAT</t>
  </si>
  <si>
    <t>id-300</t>
  </si>
  <si>
    <t xml:space="preserve">morpho 2  </t>
  </si>
  <si>
    <t>STL-35</t>
  </si>
  <si>
    <t>Nano_2_1_STL35</t>
  </si>
  <si>
    <t>id-301</t>
  </si>
  <si>
    <t xml:space="preserve">hanski   </t>
  </si>
  <si>
    <t>STL-29</t>
  </si>
  <si>
    <t>Epac_1_STL29</t>
  </si>
  <si>
    <t>id-302</t>
  </si>
  <si>
    <t xml:space="preserve">sp morpho 2 </t>
  </si>
  <si>
    <t>STL-37</t>
  </si>
  <si>
    <t>Arac_2_1_STL37</t>
  </si>
  <si>
    <t>id-303</t>
  </si>
  <si>
    <t xml:space="preserve">fissicollis   </t>
  </si>
  <si>
    <t>STL-28</t>
  </si>
  <si>
    <t>Hfis_1_STL28</t>
  </si>
  <si>
    <t>id-304</t>
  </si>
  <si>
    <t>Cambefortantus</t>
  </si>
  <si>
    <t xml:space="preserve">pauliani   </t>
  </si>
  <si>
    <t>STL-27</t>
  </si>
  <si>
    <t>Camb_1_STL27</t>
  </si>
  <si>
    <t>id-305</t>
  </si>
  <si>
    <t xml:space="preserve">sp morpho 1 </t>
  </si>
  <si>
    <t>STL-26</t>
  </si>
  <si>
    <t>Epss_1_STL26</t>
  </si>
  <si>
    <t>id-306</t>
  </si>
  <si>
    <t>STL-48</t>
  </si>
  <si>
    <t>Epss_2_2_STL48</t>
  </si>
  <si>
    <t>id-307</t>
  </si>
  <si>
    <t>Ochichanton</t>
  </si>
  <si>
    <t>STL-25</t>
  </si>
  <si>
    <t>Ochi_1_STL25</t>
  </si>
  <si>
    <t>id-308</t>
  </si>
  <si>
    <t>STL-33</t>
  </si>
  <si>
    <t>Epjo_1_STL33</t>
  </si>
  <si>
    <t>id-309</t>
  </si>
  <si>
    <t xml:space="preserve">major   </t>
  </si>
  <si>
    <t>STL-47</t>
  </si>
  <si>
    <t>Epma_1_STL47</t>
  </si>
  <si>
    <t>id-310</t>
  </si>
  <si>
    <t>STL-32</t>
  </si>
  <si>
    <t>Camb2_1_STL32</t>
  </si>
  <si>
    <t>id-311</t>
  </si>
  <si>
    <t>Grebennikovius</t>
  </si>
  <si>
    <t xml:space="preserve">lupanganus sp n1 </t>
  </si>
  <si>
    <t>CNCCOLVG00004076</t>
  </si>
  <si>
    <t>4077_1_CNCCOLVG00004076</t>
  </si>
  <si>
    <t>id-312</t>
  </si>
  <si>
    <t>Tanzanolus</t>
  </si>
  <si>
    <t>STL-10223</t>
  </si>
  <si>
    <t>SHU48-4_STL10223</t>
  </si>
  <si>
    <t>id-313</t>
  </si>
  <si>
    <t>STL-10224</t>
  </si>
  <si>
    <t>UDZ11_STL10224</t>
  </si>
  <si>
    <t>id-314</t>
  </si>
  <si>
    <t>STL-10222</t>
  </si>
  <si>
    <t>KIVE02_STL10222</t>
  </si>
  <si>
    <t>id-315</t>
  </si>
  <si>
    <t>Panelus</t>
  </si>
  <si>
    <t xml:space="preserve">rhodesiensis   </t>
  </si>
  <si>
    <t>STL-10037</t>
  </si>
  <si>
    <t>Pugu2_STL10037</t>
  </si>
  <si>
    <t>id-316</t>
  </si>
  <si>
    <t>STL-51</t>
  </si>
  <si>
    <t>Pan3_1_STL51</t>
  </si>
  <si>
    <t>AACAGGTG</t>
  </si>
  <si>
    <t>G-SP</t>
  </si>
  <si>
    <t>Helictopleurus _fasciolatus obscurus-id-1</t>
  </si>
  <si>
    <t>Helictopleurus _fasciolatus pseudofasciolatus-id-2</t>
  </si>
  <si>
    <t>Helictopleurus _cf. Furcicornis-id-3</t>
  </si>
  <si>
    <t>Helictopleurus _undatus-id-4</t>
  </si>
  <si>
    <t>Helictopleurus _sinuatocornis-id-5</t>
  </si>
  <si>
    <t>Helictopleurus _perrieri-id-6</t>
  </si>
  <si>
    <t>Helictopleurus _neuter-id-7</t>
  </si>
  <si>
    <t>Helictopleurus _fasciolatus fasciolatus-id-8</t>
  </si>
  <si>
    <t>Helictopleurus _nicollei-id-9</t>
  </si>
  <si>
    <t>Nesosisyphus _rotundatus-id-10</t>
  </si>
  <si>
    <t>Kheper_nigroaeneus-id-11</t>
  </si>
  <si>
    <t>Sceliages_hippias-id-12</t>
  </si>
  <si>
    <t>Helictopleurus_neoamplicollis-id-13</t>
  </si>
  <si>
    <t>Scarabaeus_westwoodi-id-14</t>
  </si>
  <si>
    <t>Frankenbergerius_armatus-id-15</t>
  </si>
  <si>
    <t>Hamonthophagus_depressus-id-16</t>
  </si>
  <si>
    <t>Heteronitis_ragazzii-id-17</t>
  </si>
  <si>
    <t>Gyronotus_pumilus-id-18</t>
  </si>
  <si>
    <t>Arachnodes_sp4-id-19</t>
  </si>
  <si>
    <t>Drepanopodus_proximus-id-20</t>
  </si>
  <si>
    <t>Epirinus_cf.silvestris-id-21</t>
  </si>
  <si>
    <t>Catharsius_sp.-id-22</t>
  </si>
  <si>
    <t>Nanos_dubitatus-id-23</t>
  </si>
  <si>
    <t>Metacatharsius_opacus-id-24</t>
  </si>
  <si>
    <t>Helictopleurus_politicollis-id-25</t>
  </si>
  <si>
    <t>Epilissus_cuprarius-id-26</t>
  </si>
  <si>
    <t>Copris (Paracopris)_sp.-id-27</t>
  </si>
  <si>
    <t>Onthophagus_cf.bicavifrons-id-28</t>
  </si>
  <si>
    <t>Apotolamprus_quadrinotatus-id-29</t>
  </si>
  <si>
    <t>Litocopris_muticus-id-30</t>
  </si>
  <si>
    <t>Onthophagus_probus-id-31</t>
  </si>
  <si>
    <t>Microcopris_sp1-id-32</t>
  </si>
  <si>
    <t>Sarophorus_costatus-id-33</t>
  </si>
  <si>
    <t>Xinidium_dewitzi-id-34</t>
  </si>
  <si>
    <t>Sisyphus_sordidus-id-35</t>
  </si>
  <si>
    <t>Sisyphus (Neosisyphus) _spinipes-id-36</t>
  </si>
  <si>
    <t>Epirinus_sp. 1-id-37</t>
  </si>
  <si>
    <t>Onycothechus_tricornigeris-id-38</t>
  </si>
  <si>
    <t>Apotolamprus_sp. morpho 1-id-39</t>
  </si>
  <si>
    <t>Arachnodes_sp. morpho 1-id-40</t>
  </si>
  <si>
    <t>Sisyphus_schaefferi-id-41</t>
  </si>
  <si>
    <t>Janssensantus_cf. inexpectatus-id-42</t>
  </si>
  <si>
    <t>Amphistomus_primonactus-id-43</t>
  </si>
  <si>
    <t>Anoplostethus_sp-id-44</t>
  </si>
  <si>
    <t>Aphodius_immundus-id-45</t>
  </si>
  <si>
    <t>Caccobius_schereberi-id-46</t>
  </si>
  <si>
    <t>Chrysina_resplendens-id-47</t>
  </si>
  <si>
    <t>Copris_fidius-id-48</t>
  </si>
  <si>
    <t>Coptodactyla_brooksi-id-49</t>
  </si>
  <si>
    <t>Diorygopyx_dudplodentatus-id-50</t>
  </si>
  <si>
    <t>Eophileurus_sp-id-51</t>
  </si>
  <si>
    <t>Epilissus_splendidus splendidus-id-52</t>
  </si>
  <si>
    <t>Geotrupes_opacus-id-53</t>
  </si>
  <si>
    <t>Geotrupes_splendidus-id-54</t>
  </si>
  <si>
    <t>Helictopleurus_sicardi-id-55</t>
  </si>
  <si>
    <t>Helictopleurus_sicardi-id-56</t>
  </si>
  <si>
    <t>Hybosorus_illigeri-id-57</t>
  </si>
  <si>
    <t>Ischiopsophra_sp-id-58</t>
  </si>
  <si>
    <t>Lamprima_sp-id-59</t>
  </si>
  <si>
    <t>Lepidiota_sp-id-60</t>
  </si>
  <si>
    <t>Liparochrus_sp-id-61</t>
  </si>
  <si>
    <t>Lucanus_capreolus-id-62</t>
  </si>
  <si>
    <t>Marronus_borbonicus-id-63</t>
  </si>
  <si>
    <t>Nanos_aff-id-64</t>
  </si>
  <si>
    <t>Nanos_vadoni-id-65</t>
  </si>
  <si>
    <t>Nicrophorus_orbicollis-id-66</t>
  </si>
  <si>
    <t>Nicrophorus_vespilloides-id-67</t>
  </si>
  <si>
    <t>Omorgus_sp-id-68</t>
  </si>
  <si>
    <t>Oniticellus_cinctus-id-69</t>
  </si>
  <si>
    <t>Onthophagus_taurus-id-70</t>
  </si>
  <si>
    <t>Oryctes_borbonicus-id-71</t>
  </si>
  <si>
    <t>Oryctes_rhinoceros-id-72</t>
  </si>
  <si>
    <t>Phanaeus_dejeani-id-73</t>
  </si>
  <si>
    <t>Popillia_japonica-id-74</t>
  </si>
  <si>
    <t>Protaetia_brevitarsis-id-75</t>
  </si>
  <si>
    <t>Sarrophorus_costatus-id-76</t>
  </si>
  <si>
    <t>Sarophorus_costatus-id-77</t>
  </si>
  <si>
    <t>Semanopterus_sp-id-78</t>
  </si>
  <si>
    <t>Temnoplectron_lewisensis-id-79</t>
  </si>
  <si>
    <t>Thyregis_relictus-id-80</t>
  </si>
  <si>
    <t>Trichaulax_sp-id-81</t>
  </si>
  <si>
    <t>Trypoxylus_dichotomus-id-82</t>
  </si>
  <si>
    <t>Xylonichus_sp-id-83</t>
  </si>
  <si>
    <t>Chalconotus_convexus   -id-84</t>
  </si>
  <si>
    <t>Copris_urus   -id-85</t>
  </si>
  <si>
    <t>Helictopleurus_marsyas   -id-86</t>
  </si>
  <si>
    <t>Metacatharsius_sp1   -id-87</t>
  </si>
  <si>
    <t>Pedaria_sp1   -id-88</t>
  </si>
  <si>
    <t>Helictopleurus_aurocupreus   -id-89</t>
  </si>
  <si>
    <t>Epilissus_alluaudi   -id-90</t>
  </si>
  <si>
    <t>Helictopleurus_splendidicollis   -id-91</t>
  </si>
  <si>
    <t>Copris_sp2   -id-92</t>
  </si>
  <si>
    <t>Epilissus_fuscovirens   -id-93</t>
  </si>
  <si>
    <t>Helictopleurus_unifasciatus   -id-94</t>
  </si>
  <si>
    <t>Copris_nevinsoni   -id-95</t>
  </si>
  <si>
    <t>Epilissus_morio   -id-96</t>
  </si>
  <si>
    <t>Nanos_sp7   -id-97</t>
  </si>
  <si>
    <t>Arachnodes_sp2   -id-98</t>
  </si>
  <si>
    <t>Copris_gilleti   -id-99</t>
  </si>
  <si>
    <t>Helictopleurus_fasciolatus suturalis   -id-100</t>
  </si>
  <si>
    <t>Helictopleurus_semivirens   -id-101</t>
  </si>
  <si>
    <t>Helictopleurus_sp   -id-102</t>
  </si>
  <si>
    <t>Helictopleurus_carbonarius   -id-103</t>
  </si>
  <si>
    <t>Arachnodes_sp7 cf insularis -id-104</t>
  </si>
  <si>
    <t>Helictopleurus_coruscus   -id-105</t>
  </si>
  <si>
    <t>Helictopleurus_viridans pseudoviridans  -id-106</t>
  </si>
  <si>
    <t>Helictopleurus_giganteus   -id-107</t>
  </si>
  <si>
    <t>Helictopleurus_fissicollis morettoi   -id-108</t>
  </si>
  <si>
    <t>Helictopleurus_fulgens purpuricollis   -id-109</t>
  </si>
  <si>
    <t>Helictopleurus_dorbignyi   -id-110</t>
  </si>
  <si>
    <t>Helictopleurus_cambeforti   -id-111</t>
  </si>
  <si>
    <t>Cyptochirus_sp1   -id-112</t>
  </si>
  <si>
    <t>Helictopleurus_cf steineri n sp-id-113</t>
  </si>
  <si>
    <t>Helictopleurus_sp group semivirens -id-114</t>
  </si>
  <si>
    <t>Digitonthophagus_gazella   -id-115</t>
  </si>
  <si>
    <t>Helictopleurus_fissicollis australis  -id-116</t>
  </si>
  <si>
    <t>Helictopleurus_cribricollis   -id-117</t>
  </si>
  <si>
    <t>Oniticellus_planatus   -id-118</t>
  </si>
  <si>
    <t>Helictopleurus_viridans viridans  -id-119</t>
  </si>
  <si>
    <t>Proagoderus_sapphirinus   -id-120</t>
  </si>
  <si>
    <t>Onitis_caffer   -id-121</t>
  </si>
  <si>
    <t>Arachnodes_oberthuri   -id-122</t>
  </si>
  <si>
    <t>Arachnodes_sp6   -id-123</t>
  </si>
  <si>
    <t>Onthophagus_Bicornonthophagus interstitialis  -id-124</t>
  </si>
  <si>
    <t>Epilissus_aff antoetrae  -id-125</t>
  </si>
  <si>
    <t>Onthophagus_Palaeonthophagus gibbulus  -id-126</t>
  </si>
  <si>
    <t>Helictopleurus_rudicollis   -id-127</t>
  </si>
  <si>
    <t>Apotolamprus_aff ambohitsitondronensi  -id-128</t>
  </si>
  <si>
    <t>Onthophagus_sl borneensis  -id-129</t>
  </si>
  <si>
    <t>Phalops_flavocinctus   -id-130</t>
  </si>
  <si>
    <t>Hexodon_sp1   -id-131</t>
  </si>
  <si>
    <t>Orphninae_sp1   -id-132</t>
  </si>
  <si>
    <t>Sceliages_hippias   -id-133</t>
  </si>
  <si>
    <t>Onthophagus_Paraphanaeomorphus aff phanaeiformis -id-134</t>
  </si>
  <si>
    <t>Apotolamprus_quadrimaculatus   -id-135</t>
  </si>
  <si>
    <t>Apotolamprus_vadoni   -id-136</t>
  </si>
  <si>
    <t>Scaptocnemis_segregis   -id-137</t>
  </si>
  <si>
    <t>Scarabaeus_n sp1  -id-138</t>
  </si>
  <si>
    <t>Catharsius_cf molossus  -id-139</t>
  </si>
  <si>
    <t>Epirinus_flagellatus   -id-140</t>
  </si>
  <si>
    <t>Pachylomera_femoralis   -id-141</t>
  </si>
  <si>
    <t>Onthophagus_Parascatonomus tricornis  -id-142</t>
  </si>
  <si>
    <t>Nanos_sp10   -id-143</t>
  </si>
  <si>
    <t>Proagoderus_cf lanista  -id-144</t>
  </si>
  <si>
    <t>Onthophagus_sl giraffa  -id-145</t>
  </si>
  <si>
    <t>Pachysoma_hippocrates   -id-146</t>
  </si>
  <si>
    <t>Onthophagus_sl leucopygus  -id-147</t>
  </si>
  <si>
    <t>Cheironitis_scabrosus   -id-148</t>
  </si>
  <si>
    <t>Hybosoridae_sp1 Madagascar  -id-149</t>
  </si>
  <si>
    <t>Arachnodes_sp5   -id-150</t>
  </si>
  <si>
    <t>Garreta_unicolor   -id-151</t>
  </si>
  <si>
    <t>Epilissus_aff morio group -id-152</t>
  </si>
  <si>
    <t>Epilissus_sp1   -id-153</t>
  </si>
  <si>
    <t>Pycnopanelus_krikkeni   -id-154</t>
  </si>
  <si>
    <t>Nanos_aff rubrosignatus  -id-155</t>
  </si>
  <si>
    <t>Onthophagus_sl laevis  -id-156</t>
  </si>
  <si>
    <t>Heliocopris_sp   -id-157</t>
  </si>
  <si>
    <t>Euoniticellus_fulvus   -id-158</t>
  </si>
  <si>
    <t>Nanos_aff mirjae  -id-159</t>
  </si>
  <si>
    <t>Onthophagus_Serrophorus seniculus  -id-160</t>
  </si>
  <si>
    <t>Helictopleurus_furcicornis   -id-161</t>
  </si>
  <si>
    <t>Onthophagus_sl vulpes  -id-162</t>
  </si>
  <si>
    <t>Anonychonitis_freyi   -id-163</t>
  </si>
  <si>
    <t>Hammondantus_psammophilus   -id-164</t>
  </si>
  <si>
    <t>Arachnodes_sp3   -id-165</t>
  </si>
  <si>
    <t>Onthophagus_cf muelleri  -id-166</t>
  </si>
  <si>
    <t>Helictopleurus_vadoni   -id-167</t>
  </si>
  <si>
    <t>Paragymnopleurus_sp   -id-168</t>
  </si>
  <si>
    <t>Onthophagus_Onthophagiellus cf sp1 -id-169</t>
  </si>
  <si>
    <t>Onthophagus_Gibbonthophagus rectecornutus  -id-170</t>
  </si>
  <si>
    <t>Nanos_sp11   -id-171</t>
  </si>
  <si>
    <t>Onthophagus_Sunenaga streltsovi cf -id-172</t>
  </si>
  <si>
    <t>Onthophagus_Hikidaeus waterstradti  -id-173</t>
  </si>
  <si>
    <t>Synapsis_sp   -id-174</t>
  </si>
  <si>
    <t>Macroderes_sp1   -id-175</t>
  </si>
  <si>
    <t>Copridaspidus_peregrinus   -id-176</t>
  </si>
  <si>
    <t>Onitis_alexis   -id-177</t>
  </si>
  <si>
    <t>Heliocopris_sp   -id-178</t>
  </si>
  <si>
    <t>Nanos_bicoloratus   -id-179</t>
  </si>
  <si>
    <t>Nanos_sp5   -id-180</t>
  </si>
  <si>
    <t>Helictopleurus_hanskii   -id-181</t>
  </si>
  <si>
    <t>Onthophagus_Pseudophanaeomorphus quasijohkii aff  -id-182</t>
  </si>
  <si>
    <t>Paraphytus_cf hindu  -id-183</t>
  </si>
  <si>
    <t>Helictopleurus_nigricans   -id-184</t>
  </si>
  <si>
    <t>Epilissus_splendidus cf delphinensis  -id-185</t>
  </si>
  <si>
    <t>Nanos_sp8   -id-186</t>
  </si>
  <si>
    <t>Nanos_aff viridissimus  -id-187</t>
  </si>
  <si>
    <t>Epilissus_aff planatus  -id-188</t>
  </si>
  <si>
    <t>Arachnodes_aff saprinoides  -id-189</t>
  </si>
  <si>
    <t>Macronthophagus_diabolicus   -id-190</t>
  </si>
  <si>
    <t>Onthophagus_sl vinctus  -id-191</t>
  </si>
  <si>
    <t>Helictopleurus_viettei   -id-192</t>
  </si>
  <si>
    <t>Epilissus_aff semilissus  -id-193</t>
  </si>
  <si>
    <t>Amietina_larrochei   -id-194</t>
  </si>
  <si>
    <t>Apotolamprus_aff metallicus  -id-195</t>
  </si>
  <si>
    <t>Helictopleurus_steineri   -id-196</t>
  </si>
  <si>
    <t>Epactoides_jounii   -id-197</t>
  </si>
  <si>
    <t>Apotolamprus_perinetensis   -id-198</t>
  </si>
  <si>
    <t>Macroderes_foveatus   -id-199</t>
  </si>
  <si>
    <t>Nanos_aff humeralis  -id-200</t>
  </si>
  <si>
    <t>Liatongus_sp   -id-201</t>
  </si>
  <si>
    <t>Epactoides_olsoufieffi   -id-202</t>
  </si>
  <si>
    <t>Cleptocaccobius_viridicollis   -id-203</t>
  </si>
  <si>
    <t>Nanos_sp4   -id-204</t>
  </si>
  <si>
    <t>Arachnodes_saprinoides   -id-205</t>
  </si>
  <si>
    <t>Circellium_bacchus   -id-206</t>
  </si>
  <si>
    <t>Janssensantus_mabuensis n sp -id-207</t>
  </si>
  <si>
    <t>Gymnopleurus_aenescens   -id-208</t>
  </si>
  <si>
    <t>Onthophagus_Micronthophagus sp1  -id-209</t>
  </si>
  <si>
    <t>Epactoides_sp3   -id-210</t>
  </si>
  <si>
    <t>Eusaproecius_sp1   -id-211</t>
  </si>
  <si>
    <t>Epactoides_sp2   -id-212</t>
  </si>
  <si>
    <t>Apotolamprus_aff sparsepunctatus  -id-213</t>
  </si>
  <si>
    <t>Hybosoridae_sp2 Laos  -id-214</t>
  </si>
  <si>
    <t>Apotolamprus_aff latipennis  -id-215</t>
  </si>
  <si>
    <t>Kurtops_signatus   -id-216</t>
  </si>
  <si>
    <t>Nanos_sp1   -id-217</t>
  </si>
  <si>
    <t>Endroedyolus_paradoxus   -id-218</t>
  </si>
  <si>
    <t>Arachnodes_aff metallicus  -id-219</t>
  </si>
  <si>
    <t>Apterepilissus_ovalis   -id-220</t>
  </si>
  <si>
    <t>Onthophagus_sl cf quadrimaculatus -id-221</t>
  </si>
  <si>
    <t>Apotolamprus_sp1   -id-222</t>
  </si>
  <si>
    <t>Arachnodes_sp    -id-223</t>
  </si>
  <si>
    <t>Parascatonomus_anceyi   -id-224</t>
  </si>
  <si>
    <t>Nanos_aff Pseudominutus  -id-225</t>
  </si>
  <si>
    <t>Epactoides_aff Lissus  -id-226</t>
  </si>
  <si>
    <t>Scarabaeolus_intricatus   -id-227</t>
  </si>
  <si>
    <t>Coptorhina_klugii   -id-228</t>
  </si>
  <si>
    <t>Epactoides_semiaeneus   -id-229</t>
  </si>
  <si>
    <t>Onthophagus_Furconthophagus variegatus  -id-230</t>
  </si>
  <si>
    <t>Janssensantus_cf inexpectatus  -id-231</t>
  </si>
  <si>
    <t>Epactoides_femoralis   -id-232</t>
  </si>
  <si>
    <t>Hammondantus_psammophilus   -id-233</t>
  </si>
  <si>
    <t>Frankenbergerius_armatus   -id-234</t>
  </si>
  <si>
    <t>Pedaria_sp   -id-235</t>
  </si>
  <si>
    <t>Epactoides_mangabeensis   -id-236</t>
  </si>
  <si>
    <t>Onthophagus_sl lamelliger  -id-237</t>
  </si>
  <si>
    <t>Arachnodes_aff robinsoni  -id-238</t>
  </si>
  <si>
    <t>Chalconotus_convexus   -id-239</t>
  </si>
  <si>
    <t>Nanos_sp2   -id-240</t>
  </si>
  <si>
    <t>Dwesasilvasedis_medinae   -id-241</t>
  </si>
  <si>
    <t>Odontoloma_planatum   -id-242</t>
  </si>
  <si>
    <t>Epactoides_aff major  -id-243</t>
  </si>
  <si>
    <t>Onthophagus_sl baeri  -id-244</t>
  </si>
  <si>
    <t>Bohepilissus_sp1   -id-245</t>
  </si>
  <si>
    <t>Onthophagus_sstr obscurior  -id-246</t>
  </si>
  <si>
    <t>Arachnodes_saprinoides   -id-247</t>
  </si>
  <si>
    <t>Odontoloma_sp1   -id-248</t>
  </si>
  <si>
    <t>Bohepilissus_sp sp1  -id-249</t>
  </si>
  <si>
    <t>Caccobius_binodulus   -id-250</t>
  </si>
  <si>
    <t>Copris_sl diversus  -id-251</t>
  </si>
  <si>
    <t>Epactoides_aff Semiaeneus  -id-252</t>
  </si>
  <si>
    <t>Dicranocara_deschodti   -id-253</t>
  </si>
  <si>
    <t>Onthophagus_sl pilosus  -id-254</t>
  </si>
  <si>
    <t>Nanos_aff Bicoloratus  -id-255</t>
  </si>
  <si>
    <t>Haroldius_sp2   -id-256</t>
  </si>
  <si>
    <t>Helictopleurus_fulgens   -id-257</t>
  </si>
  <si>
    <t>Onthophagus_sl batillifer  -id-258</t>
  </si>
  <si>
    <t>Paragymnopleurus_sp   -id-259</t>
  </si>
  <si>
    <t>Megalonitis_bohemani   -id-260</t>
  </si>
  <si>
    <t>Haroldius_sp1   -id-261</t>
  </si>
  <si>
    <t>Byrrhidium_namaquensis   -id-262</t>
  </si>
  <si>
    <t>Onthophagus_Euonthophagus flavimargo  -id-263</t>
  </si>
  <si>
    <t>Onthophagus_sl sp1 cf gr-id-264</t>
  </si>
  <si>
    <t>Xinidium_dentilabris   -id-265</t>
  </si>
  <si>
    <t>Helictopleurus_peyrierasi   -id-266</t>
  </si>
  <si>
    <t>Onthophagus_pipitzi   -id-267</t>
  </si>
  <si>
    <t>Epactoides_sp   -id-268</t>
  </si>
  <si>
    <t>Helictopleurus_sicardi   -id-269</t>
  </si>
  <si>
    <t>Arachnodes_pusillus   -id-270</t>
  </si>
  <si>
    <t>Nanos_sp6   -id-271</t>
  </si>
  <si>
    <t>Helictopleurus_quadripunctatus   -id-272</t>
  </si>
  <si>
    <t>Onitis_uncinatus   -id-273</t>
  </si>
  <si>
    <t>Epilissus_apotolamproides   -id-274</t>
  </si>
  <si>
    <t>Pedaria_sp2   -id-275</t>
  </si>
  <si>
    <t>Arachnodes_sp1   -id-276</t>
  </si>
  <si>
    <t>Nanos_sp9   -id-277</t>
  </si>
  <si>
    <t>Nesosisyphus_vicinus   -id-278</t>
  </si>
  <si>
    <t>Nesosisyphus_regnardi   -id-279</t>
  </si>
  <si>
    <t>Nesosisyphus_pygmaeus   -id-280</t>
  </si>
  <si>
    <t>Sisyphus_muricatus   -id-281</t>
  </si>
  <si>
    <t>Sisyphus_umbraphilus   -id-282</t>
  </si>
  <si>
    <t>Sisyphus_australis   -id-283</t>
  </si>
  <si>
    <t>Sisyphus_manni   -id-284</t>
  </si>
  <si>
    <t>Sisyphus (Neosisyphus) _barbarossa  -id-285</t>
  </si>
  <si>
    <t>Sisyphus (Neosisyphus) _infuscatus  -id-286</t>
  </si>
  <si>
    <t>Sisyphus (Neosisyphus) _calcaratus  -id-287</t>
  </si>
  <si>
    <t>Sisyphus (Neosisyphus) _rubrus  -id-288</t>
  </si>
  <si>
    <t>Sisyphus (Neosisyphus) _mirabilis  -id-289</t>
  </si>
  <si>
    <t>Sisyphus_gazanus   -id-290</t>
  </si>
  <si>
    <t>Sisyphus_inconspicuus   -id-291</t>
  </si>
  <si>
    <t>Sisyphini_sp morpho1  -id-292</t>
  </si>
  <si>
    <t>Sisyphini_sp morpho6  -id-293</t>
  </si>
  <si>
    <t>Sisyphini_sp morpho8  -id-294</t>
  </si>
  <si>
    <t>Sisyphini_sp morpho 10 -id-295</t>
  </si>
  <si>
    <t>Nesovinsionia_vinsoni   -id-296</t>
  </si>
  <si>
    <t>Nesovinsionia_vinsoni   -id-297</t>
  </si>
  <si>
    <t>Nanos_sp   -id-298</t>
  </si>
  <si>
    <t>Apotolamprus_sp   -id-299</t>
  </si>
  <si>
    <t>Nanos_morpho 2  -id-300</t>
  </si>
  <si>
    <t>Epactoides_hanski   -id-301</t>
  </si>
  <si>
    <t>Arachnodes_sp morpho 2 -id-302</t>
  </si>
  <si>
    <t>Helictopleurus_fissicollis   -id-303</t>
  </si>
  <si>
    <t>Cambefortantus_pauliani   -id-304</t>
  </si>
  <si>
    <t>Epilissus_sp morpho 1 -id-305</t>
  </si>
  <si>
    <t>Epilissus_sp morpho 2 -id-306</t>
  </si>
  <si>
    <t>Ochichanton_sp1   -id-307</t>
  </si>
  <si>
    <t>Epactoides_jounii   -id-308</t>
  </si>
  <si>
    <t>Epactoides_major   -id-309</t>
  </si>
  <si>
    <t>Cambefortantus_pauliani   -id-310</t>
  </si>
  <si>
    <t>Grebennikovius_lupanganus sp n1 -id-311</t>
  </si>
  <si>
    <t>Tanzanolus_sp1   -id-312</t>
  </si>
  <si>
    <t>Tanzanolus_sp2   -id-313</t>
  </si>
  <si>
    <t>Janssensantus_cf inexpectatus  -id-314</t>
  </si>
  <si>
    <t>Panelus_rhodesiensis   -id-315</t>
  </si>
  <si>
    <t>Panelus_sp3   -id-316</t>
  </si>
  <si>
    <t>study-id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</si>
</sst>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DCF1-A94B-0C4B-BD94-26D03B87DA3A}">
  <dimension ref="A1:P317"/>
  <sheetViews>
    <sheetView tabSelected="1" zoomScale="174" zoomScaleNormal="174" workbookViewId="0">
      <selection activeCell="D2" sqref="D2"/>
    </sheetView>
  </sheetViews>
  <sheetFormatPr baseColWidth="10" defaultRowHeight="16" x14ac:dyDescent="0.2"/>
  <cols>
    <col min="1" max="1" width="22.83203125" customWidth="1"/>
    <col min="3" max="4" width="45.83203125" customWidth="1"/>
    <col min="5" max="5" width="25.1640625" customWidth="1"/>
    <col min="6" max="6" width="34.1640625" customWidth="1"/>
    <col min="9" max="9" width="20" customWidth="1"/>
  </cols>
  <sheetData>
    <row r="1" spans="1:16" s="1" customFormat="1" x14ac:dyDescent="0.2">
      <c r="A1" s="1" t="s">
        <v>0</v>
      </c>
      <c r="B1" s="1" t="s">
        <v>1</v>
      </c>
      <c r="C1" s="1" t="s">
        <v>1501</v>
      </c>
      <c r="D1" s="1" t="s">
        <v>1818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">
      <c r="B2" t="s">
        <v>978</v>
      </c>
      <c r="C2" t="str">
        <f t="shared" ref="C2:C65" si="0">CONCATENATE(E2,"_",F2, "-", B2)</f>
        <v>Amietina_larrochei   -id-194</v>
      </c>
      <c r="E2" t="s">
        <v>979</v>
      </c>
      <c r="F2" t="s">
        <v>980</v>
      </c>
      <c r="G2" t="s">
        <v>981</v>
      </c>
      <c r="H2" t="s">
        <v>442</v>
      </c>
      <c r="I2" t="s">
        <v>982</v>
      </c>
      <c r="J2">
        <v>2766</v>
      </c>
      <c r="K2" t="s">
        <v>77</v>
      </c>
      <c r="L2">
        <v>501</v>
      </c>
      <c r="M2" t="s">
        <v>48</v>
      </c>
      <c r="N2">
        <v>153</v>
      </c>
      <c r="O2" t="s">
        <v>983</v>
      </c>
    </row>
    <row r="3" spans="1:16" x14ac:dyDescent="0.2">
      <c r="B3" t="s">
        <v>255</v>
      </c>
      <c r="C3" t="str">
        <f t="shared" si="0"/>
        <v>Amphistomus_primonactus-id-43</v>
      </c>
      <c r="E3" t="s">
        <v>256</v>
      </c>
      <c r="F3" t="s">
        <v>257</v>
      </c>
      <c r="G3" t="s">
        <v>258</v>
      </c>
      <c r="H3" t="s">
        <v>259</v>
      </c>
      <c r="I3" t="s">
        <v>260</v>
      </c>
      <c r="J3">
        <v>471</v>
      </c>
      <c r="K3" t="s">
        <v>261</v>
      </c>
      <c r="L3" t="s">
        <v>258</v>
      </c>
      <c r="M3" t="s">
        <v>258</v>
      </c>
      <c r="N3" t="s">
        <v>258</v>
      </c>
      <c r="O3" t="s">
        <v>258</v>
      </c>
      <c r="P3" t="s">
        <v>262</v>
      </c>
    </row>
    <row r="4" spans="1:16" x14ac:dyDescent="0.2">
      <c r="B4" t="s">
        <v>834</v>
      </c>
      <c r="C4" t="str">
        <f t="shared" si="0"/>
        <v>Anonychonitis_freyi   -id-163</v>
      </c>
      <c r="E4" t="s">
        <v>835</v>
      </c>
      <c r="F4" t="s">
        <v>836</v>
      </c>
      <c r="G4" t="s">
        <v>837</v>
      </c>
      <c r="H4" t="s">
        <v>442</v>
      </c>
      <c r="I4" t="s">
        <v>838</v>
      </c>
      <c r="J4">
        <v>2225</v>
      </c>
      <c r="K4" t="s">
        <v>77</v>
      </c>
      <c r="L4">
        <v>501</v>
      </c>
      <c r="M4" t="s">
        <v>48</v>
      </c>
      <c r="N4">
        <v>103</v>
      </c>
      <c r="O4" t="s">
        <v>839</v>
      </c>
    </row>
    <row r="5" spans="1:16" x14ac:dyDescent="0.2">
      <c r="B5" t="s">
        <v>263</v>
      </c>
      <c r="C5" t="str">
        <f t="shared" si="0"/>
        <v>Anoplostethus_sp-id-44</v>
      </c>
      <c r="E5" t="s">
        <v>264</v>
      </c>
      <c r="F5" t="s">
        <v>265</v>
      </c>
      <c r="G5" t="s">
        <v>266</v>
      </c>
      <c r="H5" t="s">
        <v>18</v>
      </c>
      <c r="I5" t="s">
        <v>267</v>
      </c>
      <c r="J5">
        <v>1312</v>
      </c>
      <c r="K5" t="s">
        <v>77</v>
      </c>
      <c r="L5">
        <v>504</v>
      </c>
      <c r="M5" t="s">
        <v>78</v>
      </c>
      <c r="N5">
        <v>177</v>
      </c>
      <c r="O5" t="s">
        <v>179</v>
      </c>
      <c r="P5" t="s">
        <v>23</v>
      </c>
    </row>
    <row r="6" spans="1:16" x14ac:dyDescent="0.2">
      <c r="B6" t="s">
        <v>268</v>
      </c>
      <c r="C6" t="str">
        <f t="shared" si="0"/>
        <v>Aphodius_immundus-id-45</v>
      </c>
      <c r="E6" t="s">
        <v>269</v>
      </c>
      <c r="F6" t="s">
        <v>270</v>
      </c>
      <c r="G6" t="s">
        <v>271</v>
      </c>
      <c r="H6" t="s">
        <v>259</v>
      </c>
      <c r="I6" t="s">
        <v>272</v>
      </c>
      <c r="J6">
        <v>2379</v>
      </c>
      <c r="K6" t="s">
        <v>261</v>
      </c>
      <c r="L6" t="s">
        <v>258</v>
      </c>
      <c r="M6" t="s">
        <v>258</v>
      </c>
      <c r="N6" t="s">
        <v>258</v>
      </c>
      <c r="O6" t="s">
        <v>258</v>
      </c>
      <c r="P6" t="s">
        <v>262</v>
      </c>
    </row>
    <row r="7" spans="1:16" x14ac:dyDescent="0.2">
      <c r="B7" t="s">
        <v>656</v>
      </c>
      <c r="C7" t="str">
        <f t="shared" si="0"/>
        <v>Apotolamprus_aff ambohitsitondronensi  -id-128</v>
      </c>
      <c r="E7" t="s">
        <v>181</v>
      </c>
      <c r="F7" t="s">
        <v>657</v>
      </c>
      <c r="G7" t="s">
        <v>658</v>
      </c>
      <c r="H7" t="s">
        <v>442</v>
      </c>
      <c r="I7" t="s">
        <v>659</v>
      </c>
      <c r="J7">
        <v>2230</v>
      </c>
      <c r="K7" t="s">
        <v>77</v>
      </c>
      <c r="L7">
        <v>507</v>
      </c>
      <c r="M7" t="s">
        <v>21</v>
      </c>
      <c r="N7">
        <v>89</v>
      </c>
      <c r="O7" t="s">
        <v>660</v>
      </c>
    </row>
    <row r="8" spans="1:16" x14ac:dyDescent="0.2">
      <c r="B8" t="s">
        <v>1080</v>
      </c>
      <c r="C8" t="str">
        <f t="shared" si="0"/>
        <v>Apotolamprus_aff latipennis  -id-215</v>
      </c>
      <c r="E8" t="s">
        <v>181</v>
      </c>
      <c r="F8" t="s">
        <v>1081</v>
      </c>
      <c r="G8" t="s">
        <v>1082</v>
      </c>
      <c r="H8" t="s">
        <v>442</v>
      </c>
      <c r="I8" t="s">
        <v>1083</v>
      </c>
      <c r="J8">
        <v>2092</v>
      </c>
      <c r="K8" t="s">
        <v>77</v>
      </c>
      <c r="L8">
        <v>501</v>
      </c>
      <c r="M8" t="s">
        <v>48</v>
      </c>
      <c r="N8">
        <v>187</v>
      </c>
      <c r="O8" t="s">
        <v>214</v>
      </c>
    </row>
    <row r="9" spans="1:16" x14ac:dyDescent="0.2">
      <c r="B9" t="s">
        <v>984</v>
      </c>
      <c r="C9" t="str">
        <f t="shared" si="0"/>
        <v>Apotolamprus_aff metallicus  -id-195</v>
      </c>
      <c r="E9" t="s">
        <v>181</v>
      </c>
      <c r="F9" t="s">
        <v>985</v>
      </c>
      <c r="G9" t="s">
        <v>986</v>
      </c>
      <c r="H9" t="s">
        <v>442</v>
      </c>
      <c r="I9" t="s">
        <v>987</v>
      </c>
      <c r="J9">
        <v>2093</v>
      </c>
      <c r="K9" t="s">
        <v>77</v>
      </c>
      <c r="L9">
        <v>501</v>
      </c>
      <c r="M9" t="s">
        <v>48</v>
      </c>
      <c r="N9">
        <v>157</v>
      </c>
      <c r="O9" t="s">
        <v>109</v>
      </c>
    </row>
    <row r="10" spans="1:16" x14ac:dyDescent="0.2">
      <c r="B10" t="s">
        <v>1070</v>
      </c>
      <c r="C10" t="str">
        <f t="shared" si="0"/>
        <v>Apotolamprus_aff sparsepunctatus  -id-213</v>
      </c>
      <c r="E10" t="s">
        <v>181</v>
      </c>
      <c r="F10" t="s">
        <v>1071</v>
      </c>
      <c r="G10" t="s">
        <v>1072</v>
      </c>
      <c r="H10" t="s">
        <v>442</v>
      </c>
      <c r="I10" t="s">
        <v>1073</v>
      </c>
      <c r="J10">
        <v>2124</v>
      </c>
      <c r="K10" t="s">
        <v>77</v>
      </c>
      <c r="L10">
        <v>501</v>
      </c>
      <c r="M10" t="s">
        <v>48</v>
      </c>
      <c r="N10">
        <v>183</v>
      </c>
      <c r="O10" t="s">
        <v>1074</v>
      </c>
    </row>
    <row r="11" spans="1:16" x14ac:dyDescent="0.2">
      <c r="B11" t="s">
        <v>999</v>
      </c>
      <c r="C11" t="str">
        <f t="shared" si="0"/>
        <v>Apotolamprus_perinetensis   -id-198</v>
      </c>
      <c r="E11" t="s">
        <v>181</v>
      </c>
      <c r="F11" t="s">
        <v>1000</v>
      </c>
      <c r="G11" t="s">
        <v>1001</v>
      </c>
      <c r="H11" t="s">
        <v>442</v>
      </c>
      <c r="I11" t="s">
        <v>1002</v>
      </c>
      <c r="J11">
        <v>2075</v>
      </c>
      <c r="K11" t="s">
        <v>77</v>
      </c>
      <c r="L11">
        <v>501</v>
      </c>
      <c r="M11" t="s">
        <v>48</v>
      </c>
      <c r="N11">
        <v>160</v>
      </c>
      <c r="O11" t="s">
        <v>1003</v>
      </c>
    </row>
    <row r="12" spans="1:16" x14ac:dyDescent="0.2">
      <c r="B12" t="s">
        <v>692</v>
      </c>
      <c r="C12" t="str">
        <f t="shared" si="0"/>
        <v>Apotolamprus_quadrimaculatus   -id-135</v>
      </c>
      <c r="E12" t="s">
        <v>181</v>
      </c>
      <c r="F12" t="s">
        <v>693</v>
      </c>
      <c r="G12" t="s">
        <v>694</v>
      </c>
      <c r="H12" t="s">
        <v>442</v>
      </c>
      <c r="I12" t="s">
        <v>695</v>
      </c>
      <c r="J12">
        <v>1674</v>
      </c>
      <c r="K12" t="s">
        <v>77</v>
      </c>
      <c r="L12">
        <v>507</v>
      </c>
      <c r="M12" t="s">
        <v>21</v>
      </c>
      <c r="N12">
        <v>24</v>
      </c>
      <c r="O12" t="s">
        <v>696</v>
      </c>
    </row>
    <row r="13" spans="1:16" x14ac:dyDescent="0.2">
      <c r="B13" t="s">
        <v>180</v>
      </c>
      <c r="C13" t="str">
        <f t="shared" si="0"/>
        <v>Apotolamprus_quadrinotatus-id-29</v>
      </c>
      <c r="E13" t="s">
        <v>181</v>
      </c>
      <c r="F13" t="s">
        <v>182</v>
      </c>
      <c r="G13" t="s">
        <v>183</v>
      </c>
      <c r="H13" t="s">
        <v>18</v>
      </c>
      <c r="I13" t="s">
        <v>184</v>
      </c>
      <c r="J13">
        <v>1729</v>
      </c>
      <c r="K13" t="s">
        <v>77</v>
      </c>
      <c r="L13">
        <v>505</v>
      </c>
      <c r="M13" t="s">
        <v>121</v>
      </c>
      <c r="N13">
        <v>188</v>
      </c>
      <c r="O13" t="s">
        <v>185</v>
      </c>
      <c r="P13" t="s">
        <v>23</v>
      </c>
    </row>
    <row r="14" spans="1:16" x14ac:dyDescent="0.2">
      <c r="B14" t="s">
        <v>1431</v>
      </c>
      <c r="C14" t="str">
        <f t="shared" si="0"/>
        <v>Apotolamprus_sp   -id-299</v>
      </c>
      <c r="E14" t="s">
        <v>181</v>
      </c>
      <c r="F14" t="s">
        <v>526</v>
      </c>
      <c r="G14" t="s">
        <v>1432</v>
      </c>
      <c r="H14" t="s">
        <v>442</v>
      </c>
      <c r="I14" t="s">
        <v>1433</v>
      </c>
      <c r="J14">
        <v>2129</v>
      </c>
      <c r="K14" t="s">
        <v>77</v>
      </c>
      <c r="L14">
        <v>505</v>
      </c>
      <c r="M14" t="s">
        <v>121</v>
      </c>
      <c r="N14">
        <v>124</v>
      </c>
      <c r="O14" t="s">
        <v>1434</v>
      </c>
    </row>
    <row r="15" spans="1:16" x14ac:dyDescent="0.2">
      <c r="B15" t="s">
        <v>236</v>
      </c>
      <c r="C15" t="str">
        <f t="shared" si="0"/>
        <v>Apotolamprus_sp. morpho 1-id-39</v>
      </c>
      <c r="E15" t="s">
        <v>181</v>
      </c>
      <c r="F15" t="s">
        <v>237</v>
      </c>
      <c r="G15" t="s">
        <v>238</v>
      </c>
      <c r="H15" t="s">
        <v>18</v>
      </c>
      <c r="I15" t="s">
        <v>239</v>
      </c>
      <c r="J15">
        <v>2174</v>
      </c>
      <c r="K15" t="s">
        <v>77</v>
      </c>
      <c r="L15">
        <v>505</v>
      </c>
      <c r="M15" t="s">
        <v>121</v>
      </c>
      <c r="N15">
        <v>122</v>
      </c>
      <c r="O15" t="s">
        <v>152</v>
      </c>
      <c r="P15" t="s">
        <v>23</v>
      </c>
    </row>
    <row r="16" spans="1:16" x14ac:dyDescent="0.2">
      <c r="B16" t="s">
        <v>1109</v>
      </c>
      <c r="C16" t="str">
        <f t="shared" si="0"/>
        <v>Apotolamprus_sp1   -id-222</v>
      </c>
      <c r="E16" t="s">
        <v>181</v>
      </c>
      <c r="F16" t="s">
        <v>455</v>
      </c>
      <c r="G16" t="s">
        <v>1110</v>
      </c>
      <c r="H16" t="s">
        <v>442</v>
      </c>
      <c r="I16" t="s">
        <v>1111</v>
      </c>
      <c r="J16">
        <v>2228</v>
      </c>
      <c r="K16" t="s">
        <v>77</v>
      </c>
      <c r="L16">
        <v>1102</v>
      </c>
      <c r="M16" t="s">
        <v>59</v>
      </c>
      <c r="N16">
        <v>23</v>
      </c>
      <c r="O16" t="s">
        <v>549</v>
      </c>
    </row>
    <row r="17" spans="2:16" x14ac:dyDescent="0.2">
      <c r="B17" t="s">
        <v>697</v>
      </c>
      <c r="C17" t="str">
        <f t="shared" si="0"/>
        <v>Apotolamprus_vadoni   -id-136</v>
      </c>
      <c r="E17" t="s">
        <v>181</v>
      </c>
      <c r="F17" t="s">
        <v>698</v>
      </c>
      <c r="G17" t="s">
        <v>699</v>
      </c>
      <c r="H17" t="s">
        <v>442</v>
      </c>
      <c r="I17" t="s">
        <v>700</v>
      </c>
      <c r="J17">
        <v>2035</v>
      </c>
      <c r="K17" t="s">
        <v>77</v>
      </c>
      <c r="L17">
        <v>507</v>
      </c>
      <c r="M17" t="s">
        <v>21</v>
      </c>
      <c r="N17">
        <v>76</v>
      </c>
      <c r="O17" t="s">
        <v>701</v>
      </c>
    </row>
    <row r="18" spans="2:16" x14ac:dyDescent="0.2">
      <c r="B18" t="s">
        <v>1100</v>
      </c>
      <c r="C18" t="str">
        <f t="shared" si="0"/>
        <v>Apterepilissus_ovalis   -id-220</v>
      </c>
      <c r="E18" t="s">
        <v>1101</v>
      </c>
      <c r="F18" t="s">
        <v>1102</v>
      </c>
      <c r="G18" t="s">
        <v>1103</v>
      </c>
      <c r="H18" t="s">
        <v>442</v>
      </c>
      <c r="I18" t="s">
        <v>1104</v>
      </c>
      <c r="J18">
        <v>2236</v>
      </c>
      <c r="K18" t="s">
        <v>20</v>
      </c>
      <c r="L18">
        <v>1102</v>
      </c>
      <c r="M18" t="s">
        <v>59</v>
      </c>
      <c r="N18">
        <v>36</v>
      </c>
      <c r="O18" t="s">
        <v>539</v>
      </c>
    </row>
    <row r="19" spans="2:16" x14ac:dyDescent="0.2">
      <c r="B19" t="s">
        <v>1097</v>
      </c>
      <c r="C19" t="str">
        <f t="shared" si="0"/>
        <v>Arachnodes_aff metallicus  -id-219</v>
      </c>
      <c r="E19" t="s">
        <v>124</v>
      </c>
      <c r="F19" t="s">
        <v>985</v>
      </c>
      <c r="G19" t="s">
        <v>1098</v>
      </c>
      <c r="H19" t="s">
        <v>442</v>
      </c>
      <c r="I19" t="s">
        <v>1099</v>
      </c>
      <c r="J19">
        <v>2230</v>
      </c>
      <c r="K19" t="s">
        <v>77</v>
      </c>
      <c r="L19">
        <v>1102</v>
      </c>
      <c r="M19" t="s">
        <v>59</v>
      </c>
      <c r="N19">
        <v>82</v>
      </c>
      <c r="O19" t="s">
        <v>529</v>
      </c>
    </row>
    <row r="20" spans="2:16" x14ac:dyDescent="0.2">
      <c r="B20" t="s">
        <v>1174</v>
      </c>
      <c r="C20" t="str">
        <f t="shared" si="0"/>
        <v>Arachnodes_aff robinsoni  -id-238</v>
      </c>
      <c r="E20" t="s">
        <v>124</v>
      </c>
      <c r="F20" t="s">
        <v>1175</v>
      </c>
      <c r="G20" t="s">
        <v>1176</v>
      </c>
      <c r="H20" t="s">
        <v>442</v>
      </c>
      <c r="I20" t="s">
        <v>1177</v>
      </c>
      <c r="J20">
        <v>2312</v>
      </c>
      <c r="K20" t="s">
        <v>77</v>
      </c>
      <c r="L20">
        <v>1102</v>
      </c>
      <c r="M20" t="s">
        <v>59</v>
      </c>
      <c r="N20">
        <v>72</v>
      </c>
      <c r="O20" t="s">
        <v>631</v>
      </c>
    </row>
    <row r="21" spans="2:16" x14ac:dyDescent="0.2">
      <c r="B21" t="s">
        <v>953</v>
      </c>
      <c r="C21" t="str">
        <f t="shared" si="0"/>
        <v>Arachnodes_aff saprinoides  -id-189</v>
      </c>
      <c r="E21" t="s">
        <v>124</v>
      </c>
      <c r="F21" t="s">
        <v>954</v>
      </c>
      <c r="G21" t="s">
        <v>955</v>
      </c>
      <c r="H21" t="s">
        <v>442</v>
      </c>
      <c r="I21" t="s">
        <v>956</v>
      </c>
      <c r="J21">
        <v>2213</v>
      </c>
      <c r="K21" t="s">
        <v>77</v>
      </c>
      <c r="L21">
        <v>501</v>
      </c>
      <c r="M21" t="s">
        <v>48</v>
      </c>
      <c r="N21">
        <v>144</v>
      </c>
      <c r="O21" t="s">
        <v>168</v>
      </c>
    </row>
    <row r="22" spans="2:16" x14ac:dyDescent="0.2">
      <c r="B22" t="s">
        <v>627</v>
      </c>
      <c r="C22" t="str">
        <f t="shared" si="0"/>
        <v>Arachnodes_oberthuri   -id-122</v>
      </c>
      <c r="E22" t="s">
        <v>124</v>
      </c>
      <c r="F22" t="s">
        <v>628</v>
      </c>
      <c r="G22" t="s">
        <v>629</v>
      </c>
      <c r="H22" t="s">
        <v>442</v>
      </c>
      <c r="I22" t="s">
        <v>630</v>
      </c>
      <c r="J22">
        <v>2027</v>
      </c>
      <c r="K22" t="s">
        <v>77</v>
      </c>
      <c r="L22">
        <v>507</v>
      </c>
      <c r="M22" t="s">
        <v>21</v>
      </c>
      <c r="N22">
        <v>72</v>
      </c>
      <c r="O22" t="s">
        <v>631</v>
      </c>
    </row>
    <row r="23" spans="2:16" x14ac:dyDescent="0.2">
      <c r="B23" t="s">
        <v>1311</v>
      </c>
      <c r="C23" t="str">
        <f t="shared" si="0"/>
        <v>Arachnodes_pusillus   -id-270</v>
      </c>
      <c r="E23" t="s">
        <v>124</v>
      </c>
      <c r="F23" t="s">
        <v>1312</v>
      </c>
      <c r="G23" t="s">
        <v>1313</v>
      </c>
      <c r="H23" t="s">
        <v>442</v>
      </c>
      <c r="I23" t="s">
        <v>1314</v>
      </c>
      <c r="J23">
        <v>1731</v>
      </c>
      <c r="K23" t="s">
        <v>77</v>
      </c>
      <c r="L23">
        <v>505</v>
      </c>
      <c r="M23" t="s">
        <v>121</v>
      </c>
      <c r="N23">
        <v>102</v>
      </c>
      <c r="O23" t="s">
        <v>85</v>
      </c>
    </row>
    <row r="24" spans="2:16" x14ac:dyDescent="0.2">
      <c r="B24" t="s">
        <v>1033</v>
      </c>
      <c r="C24" t="str">
        <f t="shared" si="0"/>
        <v>Arachnodes_saprinoides   -id-205</v>
      </c>
      <c r="E24" t="s">
        <v>124</v>
      </c>
      <c r="F24" t="s">
        <v>1034</v>
      </c>
      <c r="G24" t="s">
        <v>1035</v>
      </c>
      <c r="H24" t="s">
        <v>442</v>
      </c>
      <c r="I24" t="s">
        <v>1036</v>
      </c>
      <c r="J24">
        <v>2075</v>
      </c>
      <c r="K24" t="s">
        <v>77</v>
      </c>
      <c r="L24">
        <v>501</v>
      </c>
      <c r="M24" t="s">
        <v>48</v>
      </c>
      <c r="N24">
        <v>170</v>
      </c>
      <c r="O24" t="s">
        <v>486</v>
      </c>
    </row>
    <row r="25" spans="2:16" x14ac:dyDescent="0.2">
      <c r="B25" t="s">
        <v>1214</v>
      </c>
      <c r="C25" t="str">
        <f t="shared" si="0"/>
        <v>Arachnodes_saprinoides   -id-247</v>
      </c>
      <c r="E25" t="s">
        <v>124</v>
      </c>
      <c r="F25" t="s">
        <v>1034</v>
      </c>
      <c r="G25" t="s">
        <v>1215</v>
      </c>
      <c r="H25" t="s">
        <v>442</v>
      </c>
      <c r="I25" t="s">
        <v>1216</v>
      </c>
      <c r="J25">
        <v>2303</v>
      </c>
      <c r="K25" t="s">
        <v>77</v>
      </c>
      <c r="L25">
        <v>1102</v>
      </c>
      <c r="M25" t="s">
        <v>59</v>
      </c>
      <c r="N25">
        <v>94</v>
      </c>
      <c r="O25" t="s">
        <v>676</v>
      </c>
    </row>
    <row r="26" spans="2:16" x14ac:dyDescent="0.2">
      <c r="B26" t="s">
        <v>1112</v>
      </c>
      <c r="C26" t="str">
        <f t="shared" si="0"/>
        <v>Arachnodes_sp    -id-223</v>
      </c>
      <c r="E26" t="s">
        <v>124</v>
      </c>
      <c r="F26" t="s">
        <v>1113</v>
      </c>
      <c r="G26" t="s">
        <v>1114</v>
      </c>
      <c r="H26" t="s">
        <v>442</v>
      </c>
      <c r="I26" t="s">
        <v>1115</v>
      </c>
      <c r="J26">
        <v>2295</v>
      </c>
      <c r="K26" t="s">
        <v>77</v>
      </c>
      <c r="L26">
        <v>1102</v>
      </c>
      <c r="M26" t="s">
        <v>59</v>
      </c>
      <c r="N26">
        <v>31</v>
      </c>
      <c r="O26" t="s">
        <v>448</v>
      </c>
    </row>
    <row r="27" spans="2:16" x14ac:dyDescent="0.2">
      <c r="B27" t="s">
        <v>1443</v>
      </c>
      <c r="C27" t="str">
        <f t="shared" si="0"/>
        <v>Arachnodes_sp morpho 2 -id-302</v>
      </c>
      <c r="E27" t="s">
        <v>124</v>
      </c>
      <c r="F27" t="s">
        <v>1444</v>
      </c>
      <c r="G27" t="s">
        <v>1445</v>
      </c>
      <c r="H27" t="s">
        <v>442</v>
      </c>
      <c r="I27" t="s">
        <v>1446</v>
      </c>
      <c r="J27">
        <v>2093</v>
      </c>
      <c r="K27" t="s">
        <v>77</v>
      </c>
      <c r="L27">
        <v>505</v>
      </c>
      <c r="M27" t="s">
        <v>121</v>
      </c>
      <c r="N27">
        <v>128</v>
      </c>
      <c r="O27" t="s">
        <v>54</v>
      </c>
    </row>
    <row r="28" spans="2:16" x14ac:dyDescent="0.2">
      <c r="B28" t="s">
        <v>240</v>
      </c>
      <c r="C28" t="str">
        <f t="shared" si="0"/>
        <v>Arachnodes_sp. morpho 1-id-40</v>
      </c>
      <c r="E28" t="s">
        <v>124</v>
      </c>
      <c r="F28" t="s">
        <v>237</v>
      </c>
      <c r="G28" t="s">
        <v>241</v>
      </c>
      <c r="H28" t="s">
        <v>18</v>
      </c>
      <c r="I28" t="s">
        <v>242</v>
      </c>
      <c r="J28">
        <v>2232</v>
      </c>
      <c r="K28" t="s">
        <v>77</v>
      </c>
      <c r="L28">
        <v>505</v>
      </c>
      <c r="M28" t="s">
        <v>121</v>
      </c>
      <c r="N28">
        <v>127</v>
      </c>
      <c r="O28" t="s">
        <v>243</v>
      </c>
      <c r="P28" t="s">
        <v>23</v>
      </c>
    </row>
    <row r="29" spans="2:16" x14ac:dyDescent="0.2">
      <c r="B29" t="s">
        <v>1335</v>
      </c>
      <c r="C29" t="str">
        <f t="shared" si="0"/>
        <v>Arachnodes_sp1   -id-276</v>
      </c>
      <c r="E29" t="s">
        <v>124</v>
      </c>
      <c r="F29" t="s">
        <v>455</v>
      </c>
      <c r="G29" t="s">
        <v>1336</v>
      </c>
      <c r="H29" t="s">
        <v>442</v>
      </c>
      <c r="I29" t="s">
        <v>1337</v>
      </c>
      <c r="J29">
        <v>2038</v>
      </c>
      <c r="K29" t="s">
        <v>77</v>
      </c>
      <c r="L29">
        <v>506</v>
      </c>
      <c r="M29" t="s">
        <v>196</v>
      </c>
      <c r="N29">
        <v>161</v>
      </c>
      <c r="O29" t="s">
        <v>1338</v>
      </c>
    </row>
    <row r="30" spans="2:16" x14ac:dyDescent="0.2">
      <c r="B30" t="s">
        <v>507</v>
      </c>
      <c r="C30" t="str">
        <f t="shared" si="0"/>
        <v>Arachnodes_sp2   -id-98</v>
      </c>
      <c r="E30" t="s">
        <v>124</v>
      </c>
      <c r="F30" t="s">
        <v>478</v>
      </c>
      <c r="G30" t="s">
        <v>508</v>
      </c>
      <c r="H30" t="s">
        <v>442</v>
      </c>
      <c r="I30" t="s">
        <v>509</v>
      </c>
      <c r="J30">
        <v>2024</v>
      </c>
      <c r="K30" t="s">
        <v>77</v>
      </c>
      <c r="L30">
        <v>1098</v>
      </c>
      <c r="M30" t="s">
        <v>495</v>
      </c>
      <c r="N30">
        <v>10</v>
      </c>
      <c r="O30" t="s">
        <v>510</v>
      </c>
    </row>
    <row r="31" spans="2:16" x14ac:dyDescent="0.2">
      <c r="B31" t="s">
        <v>845</v>
      </c>
      <c r="C31" t="str">
        <f t="shared" si="0"/>
        <v>Arachnodes_sp3   -id-165</v>
      </c>
      <c r="E31" t="s">
        <v>124</v>
      </c>
      <c r="F31" t="s">
        <v>846</v>
      </c>
      <c r="G31" t="s">
        <v>847</v>
      </c>
      <c r="H31" t="s">
        <v>442</v>
      </c>
      <c r="I31" t="s">
        <v>848</v>
      </c>
      <c r="J31">
        <v>1769</v>
      </c>
      <c r="K31" t="s">
        <v>77</v>
      </c>
      <c r="L31">
        <v>501</v>
      </c>
      <c r="M31" t="s">
        <v>48</v>
      </c>
      <c r="N31">
        <v>105</v>
      </c>
      <c r="O31" t="s">
        <v>849</v>
      </c>
    </row>
    <row r="32" spans="2:16" x14ac:dyDescent="0.2">
      <c r="B32" t="s">
        <v>123</v>
      </c>
      <c r="C32" t="str">
        <f t="shared" si="0"/>
        <v>Arachnodes_sp4-id-19</v>
      </c>
      <c r="E32" t="s">
        <v>124</v>
      </c>
      <c r="F32" t="s">
        <v>125</v>
      </c>
      <c r="G32" t="s">
        <v>126</v>
      </c>
      <c r="H32" t="s">
        <v>18</v>
      </c>
      <c r="I32" t="s">
        <v>127</v>
      </c>
      <c r="J32">
        <v>1931</v>
      </c>
      <c r="K32" t="s">
        <v>77</v>
      </c>
      <c r="L32">
        <v>505</v>
      </c>
      <c r="M32" t="s">
        <v>121</v>
      </c>
      <c r="N32">
        <v>106</v>
      </c>
      <c r="O32" t="s">
        <v>128</v>
      </c>
      <c r="P32" t="s">
        <v>23</v>
      </c>
    </row>
    <row r="33" spans="2:16" x14ac:dyDescent="0.2">
      <c r="B33" t="s">
        <v>768</v>
      </c>
      <c r="C33" t="str">
        <f t="shared" si="0"/>
        <v>Arachnodes_sp5   -id-150</v>
      </c>
      <c r="E33" t="s">
        <v>124</v>
      </c>
      <c r="F33" t="s">
        <v>769</v>
      </c>
      <c r="G33" t="s">
        <v>770</v>
      </c>
      <c r="H33" t="s">
        <v>442</v>
      </c>
      <c r="I33" t="s">
        <v>771</v>
      </c>
      <c r="J33">
        <v>2127</v>
      </c>
      <c r="K33" t="s">
        <v>77</v>
      </c>
      <c r="L33">
        <v>507</v>
      </c>
      <c r="M33" t="s">
        <v>21</v>
      </c>
      <c r="N33">
        <v>96</v>
      </c>
      <c r="O33" t="s">
        <v>772</v>
      </c>
    </row>
    <row r="34" spans="2:16" x14ac:dyDescent="0.2">
      <c r="B34" t="s">
        <v>632</v>
      </c>
      <c r="C34" t="str">
        <f t="shared" si="0"/>
        <v>Arachnodes_sp6   -id-123</v>
      </c>
      <c r="E34" t="s">
        <v>124</v>
      </c>
      <c r="F34" t="s">
        <v>633</v>
      </c>
      <c r="G34" t="s">
        <v>634</v>
      </c>
      <c r="H34" t="s">
        <v>442</v>
      </c>
      <c r="I34" t="s">
        <v>635</v>
      </c>
      <c r="J34">
        <v>1788</v>
      </c>
      <c r="K34" t="s">
        <v>77</v>
      </c>
      <c r="L34">
        <v>507</v>
      </c>
      <c r="M34" t="s">
        <v>21</v>
      </c>
      <c r="N34">
        <v>30</v>
      </c>
      <c r="O34" t="s">
        <v>636</v>
      </c>
    </row>
    <row r="35" spans="2:16" x14ac:dyDescent="0.2">
      <c r="B35" t="s">
        <v>535</v>
      </c>
      <c r="C35" t="str">
        <f t="shared" si="0"/>
        <v>Arachnodes_sp7 cf insularis -id-104</v>
      </c>
      <c r="E35" t="s">
        <v>124</v>
      </c>
      <c r="F35" t="s">
        <v>536</v>
      </c>
      <c r="G35" t="s">
        <v>537</v>
      </c>
      <c r="H35" t="s">
        <v>442</v>
      </c>
      <c r="I35" t="s">
        <v>538</v>
      </c>
      <c r="J35">
        <v>2058</v>
      </c>
      <c r="K35" t="s">
        <v>77</v>
      </c>
      <c r="L35">
        <v>507</v>
      </c>
      <c r="M35" t="s">
        <v>21</v>
      </c>
      <c r="N35">
        <v>36</v>
      </c>
      <c r="O35" t="s">
        <v>539</v>
      </c>
    </row>
    <row r="36" spans="2:16" x14ac:dyDescent="0.2">
      <c r="B36" t="s">
        <v>1220</v>
      </c>
      <c r="C36" t="str">
        <f t="shared" si="0"/>
        <v>Bohepilissus_sp sp1  -id-249</v>
      </c>
      <c r="E36" t="s">
        <v>1207</v>
      </c>
      <c r="F36" t="s">
        <v>1221</v>
      </c>
      <c r="G36" t="s">
        <v>1222</v>
      </c>
      <c r="H36" t="s">
        <v>442</v>
      </c>
      <c r="I36" t="s">
        <v>1223</v>
      </c>
      <c r="J36">
        <v>1855</v>
      </c>
      <c r="K36" t="s">
        <v>77</v>
      </c>
      <c r="L36">
        <v>1102</v>
      </c>
      <c r="M36" t="s">
        <v>59</v>
      </c>
      <c r="N36">
        <v>44</v>
      </c>
      <c r="O36" t="s">
        <v>686</v>
      </c>
    </row>
    <row r="37" spans="2:16" x14ac:dyDescent="0.2">
      <c r="B37" t="s">
        <v>1206</v>
      </c>
      <c r="C37" t="str">
        <f t="shared" si="0"/>
        <v>Bohepilissus_sp1   -id-245</v>
      </c>
      <c r="E37" t="s">
        <v>1207</v>
      </c>
      <c r="F37" t="s">
        <v>455</v>
      </c>
      <c r="G37" t="s">
        <v>1208</v>
      </c>
      <c r="H37" t="s">
        <v>442</v>
      </c>
      <c r="I37" t="s">
        <v>1209</v>
      </c>
      <c r="J37">
        <v>1877</v>
      </c>
      <c r="K37" t="s">
        <v>77</v>
      </c>
      <c r="L37">
        <v>1102</v>
      </c>
      <c r="M37" t="s">
        <v>59</v>
      </c>
      <c r="N37">
        <v>87</v>
      </c>
      <c r="O37" t="s">
        <v>665</v>
      </c>
    </row>
    <row r="38" spans="2:16" x14ac:dyDescent="0.2">
      <c r="B38" t="s">
        <v>1277</v>
      </c>
      <c r="C38" t="str">
        <f t="shared" si="0"/>
        <v>Byrrhidium_namaquensis   -id-262</v>
      </c>
      <c r="E38" t="s">
        <v>1278</v>
      </c>
      <c r="F38" t="s">
        <v>1279</v>
      </c>
      <c r="G38" t="s">
        <v>1280</v>
      </c>
      <c r="H38" t="s">
        <v>442</v>
      </c>
      <c r="I38" t="s">
        <v>1281</v>
      </c>
      <c r="J38">
        <v>1783</v>
      </c>
      <c r="K38" t="s">
        <v>77</v>
      </c>
      <c r="L38">
        <v>1102</v>
      </c>
      <c r="M38" t="s">
        <v>59</v>
      </c>
      <c r="N38">
        <v>73</v>
      </c>
      <c r="O38" t="s">
        <v>772</v>
      </c>
    </row>
    <row r="39" spans="2:16" x14ac:dyDescent="0.2">
      <c r="B39" t="s">
        <v>1224</v>
      </c>
      <c r="C39" t="str">
        <f t="shared" si="0"/>
        <v>Caccobius_binodulus   -id-250</v>
      </c>
      <c r="E39" t="s">
        <v>274</v>
      </c>
      <c r="F39" t="s">
        <v>1225</v>
      </c>
      <c r="G39" t="s">
        <v>1226</v>
      </c>
      <c r="H39" t="s">
        <v>442</v>
      </c>
      <c r="I39" t="s">
        <v>1227</v>
      </c>
      <c r="J39">
        <v>2492</v>
      </c>
      <c r="K39" t="s">
        <v>77</v>
      </c>
      <c r="L39">
        <v>1102</v>
      </c>
      <c r="M39" t="s">
        <v>59</v>
      </c>
      <c r="N39">
        <v>4</v>
      </c>
      <c r="O39" t="s">
        <v>691</v>
      </c>
    </row>
    <row r="40" spans="2:16" x14ac:dyDescent="0.2">
      <c r="B40" t="s">
        <v>273</v>
      </c>
      <c r="C40" t="str">
        <f t="shared" si="0"/>
        <v>Caccobius_schereberi-id-46</v>
      </c>
      <c r="E40" t="s">
        <v>274</v>
      </c>
      <c r="F40" t="s">
        <v>275</v>
      </c>
      <c r="G40" t="s">
        <v>276</v>
      </c>
      <c r="H40" t="s">
        <v>259</v>
      </c>
      <c r="I40" t="s">
        <v>277</v>
      </c>
      <c r="J40">
        <v>2712</v>
      </c>
      <c r="K40" t="s">
        <v>261</v>
      </c>
      <c r="L40" t="s">
        <v>258</v>
      </c>
      <c r="M40" t="s">
        <v>258</v>
      </c>
      <c r="N40" t="s">
        <v>258</v>
      </c>
      <c r="O40" t="s">
        <v>258</v>
      </c>
      <c r="P40" t="s">
        <v>262</v>
      </c>
    </row>
    <row r="41" spans="2:16" x14ac:dyDescent="0.2">
      <c r="B41" t="s">
        <v>1451</v>
      </c>
      <c r="C41" t="str">
        <f t="shared" si="0"/>
        <v>Cambefortantus_pauliani   -id-304</v>
      </c>
      <c r="E41" t="s">
        <v>1452</v>
      </c>
      <c r="F41" t="s">
        <v>1453</v>
      </c>
      <c r="G41" t="s">
        <v>1454</v>
      </c>
      <c r="H41" t="s">
        <v>442</v>
      </c>
      <c r="I41" t="s">
        <v>1455</v>
      </c>
      <c r="J41">
        <v>2165</v>
      </c>
      <c r="K41" t="s">
        <v>77</v>
      </c>
      <c r="L41">
        <v>505</v>
      </c>
      <c r="M41" t="s">
        <v>121</v>
      </c>
      <c r="N41">
        <v>130</v>
      </c>
      <c r="O41" t="s">
        <v>911</v>
      </c>
    </row>
    <row r="42" spans="2:16" x14ac:dyDescent="0.2">
      <c r="B42" t="s">
        <v>1474</v>
      </c>
      <c r="C42" t="str">
        <f t="shared" si="0"/>
        <v>Cambefortantus_pauliani   -id-310</v>
      </c>
      <c r="E42" t="s">
        <v>1452</v>
      </c>
      <c r="F42" t="s">
        <v>1453</v>
      </c>
      <c r="G42" t="s">
        <v>1475</v>
      </c>
      <c r="H42" t="s">
        <v>442</v>
      </c>
      <c r="I42" t="s">
        <v>1476</v>
      </c>
      <c r="J42">
        <v>2125</v>
      </c>
      <c r="K42" t="s">
        <v>77</v>
      </c>
      <c r="L42">
        <v>505</v>
      </c>
      <c r="M42" t="s">
        <v>121</v>
      </c>
      <c r="N42">
        <v>137</v>
      </c>
      <c r="O42" t="s">
        <v>481</v>
      </c>
    </row>
    <row r="43" spans="2:16" x14ac:dyDescent="0.2">
      <c r="B43" t="s">
        <v>712</v>
      </c>
      <c r="C43" t="str">
        <f t="shared" si="0"/>
        <v>Catharsius_cf molossus  -id-139</v>
      </c>
      <c r="E43" t="s">
        <v>142</v>
      </c>
      <c r="F43" t="s">
        <v>713</v>
      </c>
      <c r="G43" t="s">
        <v>714</v>
      </c>
      <c r="H43" t="s">
        <v>442</v>
      </c>
      <c r="I43" t="s">
        <v>715</v>
      </c>
      <c r="J43">
        <v>1552</v>
      </c>
      <c r="K43" t="s">
        <v>77</v>
      </c>
      <c r="L43">
        <v>507</v>
      </c>
      <c r="M43" t="s">
        <v>21</v>
      </c>
      <c r="N43">
        <v>60</v>
      </c>
      <c r="O43" t="s">
        <v>65</v>
      </c>
    </row>
    <row r="44" spans="2:16" x14ac:dyDescent="0.2">
      <c r="B44" t="s">
        <v>141</v>
      </c>
      <c r="C44" t="str">
        <f t="shared" si="0"/>
        <v>Catharsius_sp.-id-22</v>
      </c>
      <c r="E44" t="s">
        <v>142</v>
      </c>
      <c r="F44" t="s">
        <v>143</v>
      </c>
      <c r="G44" t="s">
        <v>144</v>
      </c>
      <c r="H44" t="s">
        <v>18</v>
      </c>
      <c r="I44" t="s">
        <v>145</v>
      </c>
      <c r="J44">
        <v>1907</v>
      </c>
      <c r="K44" t="s">
        <v>77</v>
      </c>
      <c r="L44">
        <v>505</v>
      </c>
      <c r="M44" t="s">
        <v>121</v>
      </c>
      <c r="N44">
        <v>116</v>
      </c>
      <c r="O44" t="s">
        <v>146</v>
      </c>
      <c r="P44" t="s">
        <v>23</v>
      </c>
    </row>
    <row r="45" spans="2:16" x14ac:dyDescent="0.2">
      <c r="B45" t="s">
        <v>1178</v>
      </c>
      <c r="C45" t="str">
        <f t="shared" si="0"/>
        <v>Chalconotus_convexus   -id-239</v>
      </c>
      <c r="E45" t="s">
        <v>439</v>
      </c>
      <c r="F45" t="s">
        <v>440</v>
      </c>
      <c r="G45" t="s">
        <v>1179</v>
      </c>
      <c r="H45" t="s">
        <v>442</v>
      </c>
      <c r="I45" t="s">
        <v>1180</v>
      </c>
      <c r="J45">
        <v>548</v>
      </c>
      <c r="K45" t="s">
        <v>77</v>
      </c>
      <c r="L45">
        <v>1102</v>
      </c>
      <c r="M45" t="s">
        <v>59</v>
      </c>
      <c r="N45">
        <v>71</v>
      </c>
      <c r="O45" t="s">
        <v>646</v>
      </c>
    </row>
    <row r="46" spans="2:16" x14ac:dyDescent="0.2">
      <c r="B46" t="s">
        <v>438</v>
      </c>
      <c r="C46" t="str">
        <f t="shared" si="0"/>
        <v>Chalconotus_convexus   -id-84</v>
      </c>
      <c r="E46" t="s">
        <v>439</v>
      </c>
      <c r="F46" t="s">
        <v>440</v>
      </c>
      <c r="G46" t="s">
        <v>441</v>
      </c>
      <c r="H46" t="s">
        <v>442</v>
      </c>
      <c r="I46" t="s">
        <v>443</v>
      </c>
      <c r="J46">
        <v>1762</v>
      </c>
      <c r="K46" t="s">
        <v>77</v>
      </c>
      <c r="L46">
        <v>504</v>
      </c>
      <c r="M46" t="s">
        <v>78</v>
      </c>
      <c r="N46">
        <v>74</v>
      </c>
      <c r="O46" t="s">
        <v>395</v>
      </c>
    </row>
    <row r="47" spans="2:16" x14ac:dyDescent="0.2">
      <c r="B47" t="s">
        <v>757</v>
      </c>
      <c r="C47" t="str">
        <f t="shared" si="0"/>
        <v>Cheironitis_scabrosus   -id-148</v>
      </c>
      <c r="E47" t="s">
        <v>758</v>
      </c>
      <c r="F47" t="s">
        <v>759</v>
      </c>
      <c r="G47" t="s">
        <v>760</v>
      </c>
      <c r="H47" t="s">
        <v>442</v>
      </c>
      <c r="I47" t="s">
        <v>761</v>
      </c>
      <c r="J47">
        <v>1739</v>
      </c>
      <c r="K47" t="s">
        <v>77</v>
      </c>
      <c r="L47">
        <v>507</v>
      </c>
      <c r="M47" t="s">
        <v>21</v>
      </c>
      <c r="N47">
        <v>68</v>
      </c>
      <c r="O47" t="s">
        <v>762</v>
      </c>
    </row>
    <row r="48" spans="2:16" x14ac:dyDescent="0.2">
      <c r="B48" t="s">
        <v>278</v>
      </c>
      <c r="C48" t="str">
        <f t="shared" si="0"/>
        <v>Chrysina_resplendens-id-47</v>
      </c>
      <c r="E48" t="s">
        <v>279</v>
      </c>
      <c r="F48" t="s">
        <v>280</v>
      </c>
      <c r="G48" t="s">
        <v>258</v>
      </c>
      <c r="H48" t="s">
        <v>259</v>
      </c>
      <c r="I48" t="s">
        <v>281</v>
      </c>
      <c r="J48">
        <v>158</v>
      </c>
      <c r="K48" t="s">
        <v>261</v>
      </c>
      <c r="L48" t="s">
        <v>258</v>
      </c>
      <c r="M48" t="s">
        <v>258</v>
      </c>
      <c r="N48" t="s">
        <v>258</v>
      </c>
      <c r="O48" t="s">
        <v>258</v>
      </c>
      <c r="P48" t="s">
        <v>262</v>
      </c>
    </row>
    <row r="49" spans="2:16" x14ac:dyDescent="0.2">
      <c r="B49" t="s">
        <v>1037</v>
      </c>
      <c r="C49" t="str">
        <f t="shared" si="0"/>
        <v>Circellium_bacchus   -id-206</v>
      </c>
      <c r="E49" t="s">
        <v>1038</v>
      </c>
      <c r="F49" t="s">
        <v>1039</v>
      </c>
      <c r="G49" t="s">
        <v>1040</v>
      </c>
      <c r="H49" t="s">
        <v>442</v>
      </c>
      <c r="I49" t="s">
        <v>1041</v>
      </c>
      <c r="J49">
        <v>2200</v>
      </c>
      <c r="K49" t="s">
        <v>77</v>
      </c>
      <c r="L49">
        <v>501</v>
      </c>
      <c r="M49" t="s">
        <v>48</v>
      </c>
      <c r="N49">
        <v>171</v>
      </c>
      <c r="O49" t="s">
        <v>1042</v>
      </c>
    </row>
    <row r="50" spans="2:16" x14ac:dyDescent="0.2">
      <c r="B50" t="s">
        <v>1023</v>
      </c>
      <c r="C50" t="str">
        <f t="shared" si="0"/>
        <v>Cleptocaccobius_viridicollis   -id-203</v>
      </c>
      <c r="E50" t="s">
        <v>1024</v>
      </c>
      <c r="F50" t="s">
        <v>1025</v>
      </c>
      <c r="G50" t="s">
        <v>1026</v>
      </c>
      <c r="H50" t="s">
        <v>442</v>
      </c>
      <c r="I50" t="s">
        <v>1027</v>
      </c>
      <c r="J50">
        <v>2744</v>
      </c>
      <c r="K50" t="s">
        <v>77</v>
      </c>
      <c r="L50">
        <v>501</v>
      </c>
      <c r="M50" t="s">
        <v>48</v>
      </c>
      <c r="N50">
        <v>168</v>
      </c>
      <c r="O50" t="s">
        <v>202</v>
      </c>
    </row>
    <row r="51" spans="2:16" x14ac:dyDescent="0.2">
      <c r="B51" t="s">
        <v>893</v>
      </c>
      <c r="C51" t="str">
        <f t="shared" si="0"/>
        <v>Copridaspidus_peregrinus   -id-176</v>
      </c>
      <c r="E51" t="s">
        <v>894</v>
      </c>
      <c r="F51" t="s">
        <v>895</v>
      </c>
      <c r="G51" t="s">
        <v>896</v>
      </c>
      <c r="H51" t="s">
        <v>442</v>
      </c>
      <c r="I51" t="s">
        <v>897</v>
      </c>
      <c r="J51">
        <v>1832</v>
      </c>
      <c r="K51" t="s">
        <v>77</v>
      </c>
      <c r="L51">
        <v>501</v>
      </c>
      <c r="M51" t="s">
        <v>48</v>
      </c>
      <c r="N51">
        <v>123</v>
      </c>
      <c r="O51" t="s">
        <v>898</v>
      </c>
    </row>
    <row r="52" spans="2:16" x14ac:dyDescent="0.2">
      <c r="B52" t="s">
        <v>169</v>
      </c>
      <c r="C52" t="str">
        <f t="shared" si="0"/>
        <v>Copris (Paracopris)_sp.-id-27</v>
      </c>
      <c r="E52" t="s">
        <v>170</v>
      </c>
      <c r="F52" t="s">
        <v>143</v>
      </c>
      <c r="G52" t="s">
        <v>171</v>
      </c>
      <c r="H52" t="s">
        <v>18</v>
      </c>
      <c r="I52" t="s">
        <v>172</v>
      </c>
      <c r="J52">
        <v>1965</v>
      </c>
      <c r="K52" t="s">
        <v>77</v>
      </c>
      <c r="L52">
        <v>505</v>
      </c>
      <c r="M52" t="s">
        <v>121</v>
      </c>
      <c r="N52">
        <v>175</v>
      </c>
      <c r="O52" t="s">
        <v>173</v>
      </c>
      <c r="P52" t="s">
        <v>23</v>
      </c>
    </row>
    <row r="53" spans="2:16" x14ac:dyDescent="0.2">
      <c r="B53" t="s">
        <v>282</v>
      </c>
      <c r="C53" t="str">
        <f t="shared" si="0"/>
        <v>Copris_fidius-id-48</v>
      </c>
      <c r="E53" t="s">
        <v>283</v>
      </c>
      <c r="F53" t="s">
        <v>284</v>
      </c>
      <c r="G53" t="s">
        <v>285</v>
      </c>
      <c r="H53" t="s">
        <v>259</v>
      </c>
      <c r="I53" t="s">
        <v>286</v>
      </c>
      <c r="J53">
        <v>642</v>
      </c>
      <c r="K53" t="s">
        <v>261</v>
      </c>
      <c r="L53" t="s">
        <v>258</v>
      </c>
      <c r="M53" t="s">
        <v>258</v>
      </c>
      <c r="N53" t="s">
        <v>258</v>
      </c>
      <c r="O53" t="s">
        <v>258</v>
      </c>
      <c r="P53" t="s">
        <v>262</v>
      </c>
    </row>
    <row r="54" spans="2:16" x14ac:dyDescent="0.2">
      <c r="B54" t="s">
        <v>511</v>
      </c>
      <c r="C54" t="str">
        <f t="shared" si="0"/>
        <v>Copris_gilleti   -id-99</v>
      </c>
      <c r="E54" t="s">
        <v>283</v>
      </c>
      <c r="F54" t="s">
        <v>512</v>
      </c>
      <c r="G54" t="s">
        <v>513</v>
      </c>
      <c r="H54" t="s">
        <v>442</v>
      </c>
      <c r="I54" t="s">
        <v>514</v>
      </c>
      <c r="J54">
        <v>1767</v>
      </c>
      <c r="K54" t="s">
        <v>77</v>
      </c>
      <c r="L54">
        <v>1099</v>
      </c>
      <c r="M54" t="s">
        <v>495</v>
      </c>
      <c r="N54">
        <v>8</v>
      </c>
      <c r="O54" t="s">
        <v>515</v>
      </c>
    </row>
    <row r="55" spans="2:16" x14ac:dyDescent="0.2">
      <c r="B55" t="s">
        <v>491</v>
      </c>
      <c r="C55" t="str">
        <f t="shared" si="0"/>
        <v>Copris_nevinsoni   -id-95</v>
      </c>
      <c r="E55" t="s">
        <v>283</v>
      </c>
      <c r="F55" t="s">
        <v>492</v>
      </c>
      <c r="G55" t="s">
        <v>493</v>
      </c>
      <c r="H55" t="s">
        <v>442</v>
      </c>
      <c r="I55" t="s">
        <v>494</v>
      </c>
      <c r="J55">
        <v>1861</v>
      </c>
      <c r="K55" t="s">
        <v>77</v>
      </c>
      <c r="L55">
        <v>1098</v>
      </c>
      <c r="M55" t="s">
        <v>495</v>
      </c>
      <c r="N55">
        <v>55</v>
      </c>
      <c r="O55" t="s">
        <v>496</v>
      </c>
    </row>
    <row r="56" spans="2:16" x14ac:dyDescent="0.2">
      <c r="B56" t="s">
        <v>1228</v>
      </c>
      <c r="C56" t="str">
        <f t="shared" si="0"/>
        <v>Copris_sl diversus  -id-251</v>
      </c>
      <c r="E56" t="s">
        <v>283</v>
      </c>
      <c r="F56" t="s">
        <v>1229</v>
      </c>
      <c r="G56" t="s">
        <v>1230</v>
      </c>
      <c r="H56" t="s">
        <v>442</v>
      </c>
      <c r="I56" t="s">
        <v>1231</v>
      </c>
      <c r="J56">
        <v>2025</v>
      </c>
      <c r="K56" t="s">
        <v>77</v>
      </c>
      <c r="L56">
        <v>1102</v>
      </c>
      <c r="M56" t="s">
        <v>59</v>
      </c>
      <c r="N56">
        <v>76</v>
      </c>
      <c r="O56" t="s">
        <v>701</v>
      </c>
    </row>
    <row r="57" spans="2:16" x14ac:dyDescent="0.2">
      <c r="B57" t="s">
        <v>477</v>
      </c>
      <c r="C57" t="str">
        <f t="shared" si="0"/>
        <v>Copris_sp2   -id-92</v>
      </c>
      <c r="E57" t="s">
        <v>283</v>
      </c>
      <c r="F57" t="s">
        <v>478</v>
      </c>
      <c r="G57" t="s">
        <v>479</v>
      </c>
      <c r="H57" t="s">
        <v>442</v>
      </c>
      <c r="I57" t="s">
        <v>480</v>
      </c>
      <c r="J57">
        <v>2106</v>
      </c>
      <c r="K57" t="s">
        <v>77</v>
      </c>
      <c r="L57">
        <v>540</v>
      </c>
      <c r="M57" t="s">
        <v>78</v>
      </c>
      <c r="N57">
        <v>137</v>
      </c>
      <c r="O57" t="s">
        <v>481</v>
      </c>
    </row>
    <row r="58" spans="2:16" x14ac:dyDescent="0.2">
      <c r="B58" t="s">
        <v>444</v>
      </c>
      <c r="C58" t="str">
        <f t="shared" si="0"/>
        <v>Copris_urus   -id-85</v>
      </c>
      <c r="E58" t="s">
        <v>283</v>
      </c>
      <c r="F58" t="s">
        <v>445</v>
      </c>
      <c r="G58" t="s">
        <v>446</v>
      </c>
      <c r="H58" t="s">
        <v>442</v>
      </c>
      <c r="I58" t="s">
        <v>447</v>
      </c>
      <c r="J58">
        <v>2121</v>
      </c>
      <c r="K58" t="s">
        <v>77</v>
      </c>
      <c r="L58">
        <v>504</v>
      </c>
      <c r="M58" t="s">
        <v>78</v>
      </c>
      <c r="N58">
        <v>31</v>
      </c>
      <c r="O58" t="s">
        <v>448</v>
      </c>
    </row>
    <row r="59" spans="2:16" x14ac:dyDescent="0.2">
      <c r="B59" t="s">
        <v>287</v>
      </c>
      <c r="C59" t="str">
        <f t="shared" si="0"/>
        <v>Coptodactyla_brooksi-id-49</v>
      </c>
      <c r="E59" t="s">
        <v>288</v>
      </c>
      <c r="F59" t="s">
        <v>289</v>
      </c>
      <c r="G59" t="s">
        <v>258</v>
      </c>
      <c r="H59" t="s">
        <v>259</v>
      </c>
      <c r="I59" t="s">
        <v>290</v>
      </c>
      <c r="J59">
        <v>663</v>
      </c>
      <c r="K59" t="s">
        <v>261</v>
      </c>
      <c r="L59" t="s">
        <v>258</v>
      </c>
      <c r="M59" t="s">
        <v>258</v>
      </c>
      <c r="N59" t="s">
        <v>258</v>
      </c>
      <c r="O59" t="s">
        <v>258</v>
      </c>
      <c r="P59" t="s">
        <v>262</v>
      </c>
    </row>
    <row r="60" spans="2:16" x14ac:dyDescent="0.2">
      <c r="B60" t="s">
        <v>1134</v>
      </c>
      <c r="C60" t="str">
        <f t="shared" si="0"/>
        <v>Coptorhina_klugii   -id-228</v>
      </c>
      <c r="E60" t="s">
        <v>1135</v>
      </c>
      <c r="F60" t="s">
        <v>1136</v>
      </c>
      <c r="G60" t="s">
        <v>1137</v>
      </c>
      <c r="H60" t="s">
        <v>442</v>
      </c>
      <c r="I60" t="s">
        <v>1138</v>
      </c>
      <c r="J60">
        <v>1732</v>
      </c>
      <c r="K60" t="s">
        <v>77</v>
      </c>
      <c r="L60">
        <v>1102</v>
      </c>
      <c r="M60" t="s">
        <v>59</v>
      </c>
      <c r="N60">
        <v>55</v>
      </c>
      <c r="O60" t="s">
        <v>496</v>
      </c>
    </row>
    <row r="61" spans="2:16" x14ac:dyDescent="0.2">
      <c r="B61" t="s">
        <v>574</v>
      </c>
      <c r="C61" t="str">
        <f t="shared" si="0"/>
        <v>Cyptochirus_sp1   -id-112</v>
      </c>
      <c r="E61" t="s">
        <v>575</v>
      </c>
      <c r="F61" t="s">
        <v>455</v>
      </c>
      <c r="G61" t="s">
        <v>576</v>
      </c>
      <c r="H61" t="s">
        <v>442</v>
      </c>
      <c r="I61" t="s">
        <v>577</v>
      </c>
      <c r="J61">
        <v>2459</v>
      </c>
      <c r="K61" t="s">
        <v>77</v>
      </c>
      <c r="L61">
        <v>507</v>
      </c>
      <c r="M61" t="s">
        <v>21</v>
      </c>
      <c r="N61">
        <v>29</v>
      </c>
      <c r="O61" t="s">
        <v>578</v>
      </c>
    </row>
    <row r="62" spans="2:16" x14ac:dyDescent="0.2">
      <c r="B62" t="s">
        <v>1236</v>
      </c>
      <c r="C62" t="str">
        <f t="shared" si="0"/>
        <v>Dicranocara_deschodti   -id-253</v>
      </c>
      <c r="E62" t="s">
        <v>1237</v>
      </c>
      <c r="F62" t="s">
        <v>1238</v>
      </c>
      <c r="G62" t="s">
        <v>1239</v>
      </c>
      <c r="H62" t="s">
        <v>442</v>
      </c>
      <c r="I62" t="s">
        <v>1240</v>
      </c>
      <c r="J62">
        <v>1776</v>
      </c>
      <c r="K62" t="s">
        <v>77</v>
      </c>
      <c r="L62">
        <v>1102</v>
      </c>
      <c r="M62" t="s">
        <v>59</v>
      </c>
      <c r="N62">
        <v>33</v>
      </c>
      <c r="O62" t="s">
        <v>1241</v>
      </c>
    </row>
    <row r="63" spans="2:16" x14ac:dyDescent="0.2">
      <c r="B63" t="s">
        <v>589</v>
      </c>
      <c r="C63" t="str">
        <f t="shared" si="0"/>
        <v>Digitonthophagus_gazella   -id-115</v>
      </c>
      <c r="E63" t="s">
        <v>590</v>
      </c>
      <c r="F63" t="s">
        <v>591</v>
      </c>
      <c r="G63" t="s">
        <v>592</v>
      </c>
      <c r="H63" t="s">
        <v>442</v>
      </c>
      <c r="I63" t="s">
        <v>593</v>
      </c>
      <c r="J63">
        <v>2509</v>
      </c>
      <c r="K63" t="s">
        <v>77</v>
      </c>
      <c r="L63">
        <v>507</v>
      </c>
      <c r="M63" t="s">
        <v>21</v>
      </c>
      <c r="N63">
        <v>67</v>
      </c>
      <c r="O63" t="s">
        <v>594</v>
      </c>
    </row>
    <row r="64" spans="2:16" x14ac:dyDescent="0.2">
      <c r="B64" t="s">
        <v>291</v>
      </c>
      <c r="C64" t="str">
        <f t="shared" si="0"/>
        <v>Diorygopyx_dudplodentatus-id-50</v>
      </c>
      <c r="E64" t="s">
        <v>292</v>
      </c>
      <c r="F64" t="s">
        <v>293</v>
      </c>
      <c r="G64" t="s">
        <v>258</v>
      </c>
      <c r="H64" t="s">
        <v>259</v>
      </c>
      <c r="I64" t="s">
        <v>294</v>
      </c>
      <c r="J64">
        <v>655</v>
      </c>
      <c r="K64" t="s">
        <v>261</v>
      </c>
      <c r="L64" t="s">
        <v>258</v>
      </c>
      <c r="M64" t="s">
        <v>258</v>
      </c>
      <c r="N64" t="s">
        <v>258</v>
      </c>
      <c r="O64" t="s">
        <v>258</v>
      </c>
      <c r="P64" t="s">
        <v>262</v>
      </c>
    </row>
    <row r="65" spans="2:16" x14ac:dyDescent="0.2">
      <c r="B65" t="s">
        <v>129</v>
      </c>
      <c r="C65" t="str">
        <f t="shared" si="0"/>
        <v>Drepanopodus_proximus-id-20</v>
      </c>
      <c r="E65" t="s">
        <v>130</v>
      </c>
      <c r="F65" t="s">
        <v>131</v>
      </c>
      <c r="G65" t="s">
        <v>132</v>
      </c>
      <c r="H65" t="s">
        <v>18</v>
      </c>
      <c r="I65" t="s">
        <v>133</v>
      </c>
      <c r="J65">
        <v>1840</v>
      </c>
      <c r="K65" t="s">
        <v>77</v>
      </c>
      <c r="L65">
        <v>505</v>
      </c>
      <c r="M65" t="s">
        <v>121</v>
      </c>
      <c r="N65">
        <v>112</v>
      </c>
      <c r="O65" t="s">
        <v>134</v>
      </c>
      <c r="P65" t="s">
        <v>23</v>
      </c>
    </row>
    <row r="66" spans="2:16" x14ac:dyDescent="0.2">
      <c r="B66" t="s">
        <v>1185</v>
      </c>
      <c r="C66" t="str">
        <f t="shared" ref="C66:C129" si="1">CONCATENATE(E66,"_",F66, "-", B66)</f>
        <v>Dwesasilvasedis_medinae   -id-241</v>
      </c>
      <c r="E66" t="s">
        <v>1186</v>
      </c>
      <c r="F66" t="s">
        <v>1187</v>
      </c>
      <c r="G66" t="s">
        <v>1188</v>
      </c>
      <c r="H66" t="s">
        <v>442</v>
      </c>
      <c r="I66" t="s">
        <v>1189</v>
      </c>
      <c r="J66">
        <v>2238</v>
      </c>
      <c r="K66" t="s">
        <v>77</v>
      </c>
      <c r="L66">
        <v>1102</v>
      </c>
      <c r="M66" t="s">
        <v>59</v>
      </c>
      <c r="N66">
        <v>86</v>
      </c>
      <c r="O66" t="s">
        <v>651</v>
      </c>
    </row>
    <row r="67" spans="2:16" x14ac:dyDescent="0.2">
      <c r="B67" t="s">
        <v>1092</v>
      </c>
      <c r="C67" t="str">
        <f t="shared" si="1"/>
        <v>Endroedyolus_paradoxus   -id-218</v>
      </c>
      <c r="E67" t="s">
        <v>1093</v>
      </c>
      <c r="F67" t="s">
        <v>1094</v>
      </c>
      <c r="G67" t="s">
        <v>1095</v>
      </c>
      <c r="H67" t="s">
        <v>442</v>
      </c>
      <c r="I67" t="s">
        <v>1096</v>
      </c>
      <c r="J67">
        <v>1350</v>
      </c>
      <c r="K67" t="s">
        <v>77</v>
      </c>
      <c r="L67">
        <v>1102</v>
      </c>
      <c r="M67" t="s">
        <v>59</v>
      </c>
      <c r="N67">
        <v>59</v>
      </c>
      <c r="O67" t="s">
        <v>59</v>
      </c>
    </row>
    <row r="68" spans="2:16" x14ac:dyDescent="0.2">
      <c r="B68" t="s">
        <v>295</v>
      </c>
      <c r="C68" t="str">
        <f t="shared" si="1"/>
        <v>Eophileurus_sp-id-51</v>
      </c>
      <c r="E68" t="s">
        <v>296</v>
      </c>
      <c r="F68" t="s">
        <v>265</v>
      </c>
      <c r="G68" t="s">
        <v>297</v>
      </c>
      <c r="H68" t="s">
        <v>18</v>
      </c>
      <c r="I68" t="s">
        <v>298</v>
      </c>
      <c r="J68">
        <v>1374</v>
      </c>
      <c r="K68" t="s">
        <v>77</v>
      </c>
      <c r="L68">
        <v>504</v>
      </c>
      <c r="M68" t="s">
        <v>78</v>
      </c>
      <c r="N68">
        <v>131</v>
      </c>
      <c r="O68" t="s">
        <v>299</v>
      </c>
      <c r="P68" t="s">
        <v>23</v>
      </c>
    </row>
    <row r="69" spans="2:16" x14ac:dyDescent="0.2">
      <c r="B69" t="s">
        <v>1125</v>
      </c>
      <c r="C69" t="str">
        <f t="shared" si="1"/>
        <v>Epactoides_aff Lissus  -id-226</v>
      </c>
      <c r="E69" t="s">
        <v>994</v>
      </c>
      <c r="F69" t="s">
        <v>1126</v>
      </c>
      <c r="G69" t="s">
        <v>1127</v>
      </c>
      <c r="H69" t="s">
        <v>442</v>
      </c>
      <c r="I69" t="s">
        <v>1128</v>
      </c>
      <c r="J69">
        <v>1936</v>
      </c>
      <c r="K69" t="s">
        <v>77</v>
      </c>
      <c r="L69">
        <v>1102</v>
      </c>
      <c r="M69" t="s">
        <v>59</v>
      </c>
      <c r="N69">
        <v>57</v>
      </c>
      <c r="O69" t="s">
        <v>583</v>
      </c>
    </row>
    <row r="70" spans="2:16" x14ac:dyDescent="0.2">
      <c r="B70" t="s">
        <v>1196</v>
      </c>
      <c r="C70" t="str">
        <f t="shared" si="1"/>
        <v>Epactoides_aff major  -id-243</v>
      </c>
      <c r="E70" t="s">
        <v>994</v>
      </c>
      <c r="F70" t="s">
        <v>1197</v>
      </c>
      <c r="G70" t="s">
        <v>1198</v>
      </c>
      <c r="H70" t="s">
        <v>442</v>
      </c>
      <c r="I70" t="s">
        <v>1199</v>
      </c>
      <c r="J70">
        <v>1779</v>
      </c>
      <c r="K70" t="s">
        <v>77</v>
      </c>
      <c r="L70">
        <v>1102</v>
      </c>
      <c r="M70" t="s">
        <v>59</v>
      </c>
      <c r="N70">
        <v>9</v>
      </c>
      <c r="O70" t="s">
        <v>1200</v>
      </c>
    </row>
    <row r="71" spans="2:16" x14ac:dyDescent="0.2">
      <c r="B71" t="s">
        <v>1232</v>
      </c>
      <c r="C71" t="str">
        <f t="shared" si="1"/>
        <v>Epactoides_aff Semiaeneus  -id-252</v>
      </c>
      <c r="E71" t="s">
        <v>994</v>
      </c>
      <c r="F71" t="s">
        <v>1233</v>
      </c>
      <c r="G71" t="s">
        <v>1234</v>
      </c>
      <c r="H71" t="s">
        <v>442</v>
      </c>
      <c r="I71" t="s">
        <v>1235</v>
      </c>
      <c r="J71">
        <v>1918</v>
      </c>
      <c r="K71" t="s">
        <v>77</v>
      </c>
      <c r="L71">
        <v>1102</v>
      </c>
      <c r="M71" t="s">
        <v>59</v>
      </c>
      <c r="N71">
        <v>28</v>
      </c>
      <c r="O71" t="s">
        <v>43</v>
      </c>
    </row>
    <row r="72" spans="2:16" x14ac:dyDescent="0.2">
      <c r="B72" t="s">
        <v>1152</v>
      </c>
      <c r="C72" t="str">
        <f t="shared" si="1"/>
        <v>Epactoides_femoralis   -id-232</v>
      </c>
      <c r="E72" t="s">
        <v>994</v>
      </c>
      <c r="F72" t="s">
        <v>723</v>
      </c>
      <c r="G72" t="s">
        <v>1153</v>
      </c>
      <c r="H72" t="s">
        <v>442</v>
      </c>
      <c r="I72" t="s">
        <v>1154</v>
      </c>
      <c r="J72">
        <v>1966</v>
      </c>
      <c r="K72" t="s">
        <v>77</v>
      </c>
      <c r="L72">
        <v>1102</v>
      </c>
      <c r="M72" t="s">
        <v>59</v>
      </c>
      <c r="N72">
        <v>40</v>
      </c>
      <c r="O72" t="s">
        <v>599</v>
      </c>
    </row>
    <row r="73" spans="2:16" x14ac:dyDescent="0.2">
      <c r="B73" t="s">
        <v>1439</v>
      </c>
      <c r="C73" t="str">
        <f t="shared" si="1"/>
        <v>Epactoides_hanski   -id-301</v>
      </c>
      <c r="E73" t="s">
        <v>994</v>
      </c>
      <c r="F73" t="s">
        <v>1440</v>
      </c>
      <c r="G73" t="s">
        <v>1441</v>
      </c>
      <c r="H73" t="s">
        <v>442</v>
      </c>
      <c r="I73" t="s">
        <v>1442</v>
      </c>
      <c r="J73">
        <v>1858</v>
      </c>
      <c r="K73" t="s">
        <v>77</v>
      </c>
      <c r="L73">
        <v>505</v>
      </c>
      <c r="M73" t="s">
        <v>121</v>
      </c>
      <c r="N73">
        <v>126</v>
      </c>
      <c r="O73" t="s">
        <v>903</v>
      </c>
    </row>
    <row r="74" spans="2:16" x14ac:dyDescent="0.2">
      <c r="B74" t="s">
        <v>993</v>
      </c>
      <c r="C74" t="str">
        <f t="shared" si="1"/>
        <v>Epactoides_jounii   -id-197</v>
      </c>
      <c r="E74" t="s">
        <v>994</v>
      </c>
      <c r="F74" t="s">
        <v>995</v>
      </c>
      <c r="G74" t="s">
        <v>996</v>
      </c>
      <c r="H74" t="s">
        <v>442</v>
      </c>
      <c r="I74" t="s">
        <v>997</v>
      </c>
      <c r="J74">
        <v>1747</v>
      </c>
      <c r="K74" t="s">
        <v>77</v>
      </c>
      <c r="L74">
        <v>501</v>
      </c>
      <c r="M74" t="s">
        <v>48</v>
      </c>
      <c r="N74">
        <v>159</v>
      </c>
      <c r="O74" t="s">
        <v>998</v>
      </c>
    </row>
    <row r="75" spans="2:16" x14ac:dyDescent="0.2">
      <c r="B75" t="s">
        <v>1467</v>
      </c>
      <c r="C75" t="str">
        <f t="shared" si="1"/>
        <v>Epactoides_jounii   -id-308</v>
      </c>
      <c r="E75" t="s">
        <v>994</v>
      </c>
      <c r="F75" t="s">
        <v>995</v>
      </c>
      <c r="G75" t="s">
        <v>1468</v>
      </c>
      <c r="H75" t="s">
        <v>442</v>
      </c>
      <c r="I75" t="s">
        <v>1469</v>
      </c>
      <c r="J75">
        <v>1823</v>
      </c>
      <c r="K75" t="s">
        <v>77</v>
      </c>
      <c r="L75">
        <v>505</v>
      </c>
      <c r="M75" t="s">
        <v>121</v>
      </c>
      <c r="N75">
        <v>135</v>
      </c>
      <c r="O75" t="s">
        <v>924</v>
      </c>
    </row>
    <row r="76" spans="2:16" x14ac:dyDescent="0.2">
      <c r="B76" t="s">
        <v>1470</v>
      </c>
      <c r="C76" t="str">
        <f t="shared" si="1"/>
        <v>Epactoides_major   -id-309</v>
      </c>
      <c r="E76" t="s">
        <v>994</v>
      </c>
      <c r="F76" t="s">
        <v>1471</v>
      </c>
      <c r="G76" t="s">
        <v>1472</v>
      </c>
      <c r="H76" t="s">
        <v>442</v>
      </c>
      <c r="I76" t="s">
        <v>1473</v>
      </c>
      <c r="J76">
        <v>1852</v>
      </c>
      <c r="K76" t="s">
        <v>77</v>
      </c>
      <c r="L76">
        <v>505</v>
      </c>
      <c r="M76" t="s">
        <v>121</v>
      </c>
      <c r="N76">
        <v>136</v>
      </c>
      <c r="O76" t="s">
        <v>162</v>
      </c>
    </row>
    <row r="77" spans="2:16" x14ac:dyDescent="0.2">
      <c r="B77" t="s">
        <v>1166</v>
      </c>
      <c r="C77" t="str">
        <f t="shared" si="1"/>
        <v>Epactoides_mangabeensis   -id-236</v>
      </c>
      <c r="E77" t="s">
        <v>994</v>
      </c>
      <c r="F77" t="s">
        <v>1167</v>
      </c>
      <c r="G77" t="s">
        <v>1168</v>
      </c>
      <c r="H77" t="s">
        <v>442</v>
      </c>
      <c r="I77" t="s">
        <v>1169</v>
      </c>
      <c r="J77">
        <v>1671</v>
      </c>
      <c r="K77" t="s">
        <v>77</v>
      </c>
      <c r="L77">
        <v>1102</v>
      </c>
      <c r="M77" t="s">
        <v>59</v>
      </c>
      <c r="N77">
        <v>17</v>
      </c>
      <c r="O77" t="s">
        <v>38</v>
      </c>
    </row>
    <row r="78" spans="2:16" x14ac:dyDescent="0.2">
      <c r="B78" t="s">
        <v>1019</v>
      </c>
      <c r="C78" t="str">
        <f t="shared" si="1"/>
        <v>Epactoides_olsoufieffi   -id-202</v>
      </c>
      <c r="E78" t="s">
        <v>994</v>
      </c>
      <c r="F78" t="s">
        <v>1020</v>
      </c>
      <c r="G78" t="s">
        <v>1021</v>
      </c>
      <c r="H78" t="s">
        <v>442</v>
      </c>
      <c r="I78" t="s">
        <v>1022</v>
      </c>
      <c r="J78">
        <v>1706</v>
      </c>
      <c r="K78" t="s">
        <v>77</v>
      </c>
      <c r="L78">
        <v>501</v>
      </c>
      <c r="M78" t="s">
        <v>48</v>
      </c>
      <c r="N78">
        <v>167</v>
      </c>
      <c r="O78" t="s">
        <v>374</v>
      </c>
    </row>
    <row r="79" spans="2:16" x14ac:dyDescent="0.2">
      <c r="B79" t="s">
        <v>1139</v>
      </c>
      <c r="C79" t="str">
        <f t="shared" si="1"/>
        <v>Epactoides_semiaeneus   -id-229</v>
      </c>
      <c r="E79" t="s">
        <v>994</v>
      </c>
      <c r="F79" t="s">
        <v>1140</v>
      </c>
      <c r="G79" t="s">
        <v>1141</v>
      </c>
      <c r="H79" t="s">
        <v>442</v>
      </c>
      <c r="I79" t="s">
        <v>1142</v>
      </c>
      <c r="J79">
        <v>486</v>
      </c>
      <c r="K79" t="s">
        <v>77</v>
      </c>
      <c r="L79">
        <v>1102</v>
      </c>
      <c r="M79" t="s">
        <v>59</v>
      </c>
      <c r="N79">
        <v>5</v>
      </c>
      <c r="O79" t="s">
        <v>588</v>
      </c>
    </row>
    <row r="80" spans="2:16" x14ac:dyDescent="0.2">
      <c r="B80" t="s">
        <v>1303</v>
      </c>
      <c r="C80" t="str">
        <f t="shared" si="1"/>
        <v>Epactoides_sp   -id-268</v>
      </c>
      <c r="E80" t="s">
        <v>994</v>
      </c>
      <c r="F80" t="s">
        <v>526</v>
      </c>
      <c r="G80" t="s">
        <v>1304</v>
      </c>
      <c r="H80" t="s">
        <v>442</v>
      </c>
      <c r="I80" t="s">
        <v>1305</v>
      </c>
      <c r="J80">
        <v>1575</v>
      </c>
      <c r="K80" t="s">
        <v>77</v>
      </c>
      <c r="L80">
        <v>504</v>
      </c>
      <c r="M80" t="s">
        <v>78</v>
      </c>
      <c r="N80">
        <v>176</v>
      </c>
      <c r="O80" t="s">
        <v>1306</v>
      </c>
    </row>
    <row r="81" spans="2:16" x14ac:dyDescent="0.2">
      <c r="B81" t="s">
        <v>1066</v>
      </c>
      <c r="C81" t="str">
        <f t="shared" si="1"/>
        <v>Epactoides_sp2   -id-212</v>
      </c>
      <c r="E81" t="s">
        <v>994</v>
      </c>
      <c r="F81" t="s">
        <v>478</v>
      </c>
      <c r="G81" t="s">
        <v>1067</v>
      </c>
      <c r="H81" t="s">
        <v>442</v>
      </c>
      <c r="I81" t="s">
        <v>1068</v>
      </c>
      <c r="J81">
        <v>1791</v>
      </c>
      <c r="K81" t="s">
        <v>77</v>
      </c>
      <c r="L81">
        <v>501</v>
      </c>
      <c r="M81" t="s">
        <v>48</v>
      </c>
      <c r="N81">
        <v>182</v>
      </c>
      <c r="O81" t="s">
        <v>1069</v>
      </c>
    </row>
    <row r="82" spans="2:16" x14ac:dyDescent="0.2">
      <c r="B82" t="s">
        <v>1057</v>
      </c>
      <c r="C82" t="str">
        <f t="shared" si="1"/>
        <v>Epactoides_sp3   -id-210</v>
      </c>
      <c r="E82" t="s">
        <v>994</v>
      </c>
      <c r="F82" t="s">
        <v>846</v>
      </c>
      <c r="G82" t="s">
        <v>1058</v>
      </c>
      <c r="H82" t="s">
        <v>442</v>
      </c>
      <c r="I82" t="s">
        <v>1059</v>
      </c>
      <c r="J82">
        <v>1300</v>
      </c>
      <c r="K82" t="s">
        <v>77</v>
      </c>
      <c r="L82">
        <v>501</v>
      </c>
      <c r="M82" t="s">
        <v>48</v>
      </c>
      <c r="N82">
        <v>180</v>
      </c>
      <c r="O82" t="s">
        <v>1060</v>
      </c>
    </row>
    <row r="83" spans="2:16" x14ac:dyDescent="0.2">
      <c r="B83" t="s">
        <v>642</v>
      </c>
      <c r="C83" t="str">
        <f t="shared" si="1"/>
        <v>Epilissus_aff antoetrae  -id-125</v>
      </c>
      <c r="E83" t="s">
        <v>164</v>
      </c>
      <c r="F83" t="s">
        <v>643</v>
      </c>
      <c r="G83" t="s">
        <v>644</v>
      </c>
      <c r="H83" t="s">
        <v>442</v>
      </c>
      <c r="I83" t="s">
        <v>645</v>
      </c>
      <c r="J83">
        <v>1766</v>
      </c>
      <c r="K83" t="s">
        <v>77</v>
      </c>
      <c r="L83">
        <v>507</v>
      </c>
      <c r="M83" t="s">
        <v>21</v>
      </c>
      <c r="N83">
        <v>71</v>
      </c>
      <c r="O83" t="s">
        <v>646</v>
      </c>
    </row>
    <row r="84" spans="2:16" x14ac:dyDescent="0.2">
      <c r="B84" t="s">
        <v>779</v>
      </c>
      <c r="C84" t="str">
        <f t="shared" si="1"/>
        <v>Epilissus_aff morio group -id-152</v>
      </c>
      <c r="E84" t="s">
        <v>164</v>
      </c>
      <c r="F84" t="s">
        <v>780</v>
      </c>
      <c r="G84" t="s">
        <v>781</v>
      </c>
      <c r="H84" t="s">
        <v>442</v>
      </c>
      <c r="I84" t="s">
        <v>782</v>
      </c>
      <c r="J84">
        <v>999</v>
      </c>
      <c r="K84" t="s">
        <v>77</v>
      </c>
      <c r="L84">
        <v>507</v>
      </c>
      <c r="M84" t="s">
        <v>21</v>
      </c>
      <c r="N84">
        <v>11</v>
      </c>
      <c r="O84" t="s">
        <v>462</v>
      </c>
    </row>
    <row r="85" spans="2:16" x14ac:dyDescent="0.2">
      <c r="B85" t="s">
        <v>948</v>
      </c>
      <c r="C85" t="str">
        <f t="shared" si="1"/>
        <v>Epilissus_aff planatus  -id-188</v>
      </c>
      <c r="E85" t="s">
        <v>164</v>
      </c>
      <c r="F85" t="s">
        <v>949</v>
      </c>
      <c r="G85" t="s">
        <v>950</v>
      </c>
      <c r="H85" t="s">
        <v>442</v>
      </c>
      <c r="I85" t="s">
        <v>951</v>
      </c>
      <c r="J85">
        <v>1266</v>
      </c>
      <c r="K85" t="s">
        <v>77</v>
      </c>
      <c r="L85">
        <v>501</v>
      </c>
      <c r="M85" t="s">
        <v>48</v>
      </c>
      <c r="N85">
        <v>143</v>
      </c>
      <c r="O85" t="s">
        <v>952</v>
      </c>
    </row>
    <row r="86" spans="2:16" x14ac:dyDescent="0.2">
      <c r="B86" t="s">
        <v>973</v>
      </c>
      <c r="C86" t="str">
        <f t="shared" si="1"/>
        <v>Epilissus_aff semilissus  -id-193</v>
      </c>
      <c r="E86" t="s">
        <v>164</v>
      </c>
      <c r="F86" t="s">
        <v>974</v>
      </c>
      <c r="G86" t="s">
        <v>975</v>
      </c>
      <c r="H86" t="s">
        <v>442</v>
      </c>
      <c r="I86" t="s">
        <v>976</v>
      </c>
      <c r="J86">
        <v>2083</v>
      </c>
      <c r="K86" t="s">
        <v>77</v>
      </c>
      <c r="L86">
        <v>501</v>
      </c>
      <c r="M86" t="s">
        <v>48</v>
      </c>
      <c r="N86">
        <v>150</v>
      </c>
      <c r="O86" t="s">
        <v>977</v>
      </c>
    </row>
    <row r="87" spans="2:16" x14ac:dyDescent="0.2">
      <c r="B87" t="s">
        <v>468</v>
      </c>
      <c r="C87" t="str">
        <f t="shared" si="1"/>
        <v>Epilissus_alluaudi   -id-90</v>
      </c>
      <c r="E87" t="s">
        <v>164</v>
      </c>
      <c r="F87" t="s">
        <v>469</v>
      </c>
      <c r="G87" t="s">
        <v>470</v>
      </c>
      <c r="H87" t="s">
        <v>442</v>
      </c>
      <c r="I87" t="s">
        <v>471</v>
      </c>
      <c r="J87">
        <v>2172</v>
      </c>
      <c r="K87" t="s">
        <v>77</v>
      </c>
      <c r="L87">
        <v>540</v>
      </c>
      <c r="M87" t="s">
        <v>78</v>
      </c>
      <c r="N87">
        <v>125</v>
      </c>
      <c r="O87" t="s">
        <v>472</v>
      </c>
    </row>
    <row r="88" spans="2:16" x14ac:dyDescent="0.2">
      <c r="B88" t="s">
        <v>1328</v>
      </c>
      <c r="C88" t="str">
        <f t="shared" si="1"/>
        <v>Epilissus_apotolamproides   -id-274</v>
      </c>
      <c r="E88" t="s">
        <v>164</v>
      </c>
      <c r="F88" t="s">
        <v>1329</v>
      </c>
      <c r="G88" t="s">
        <v>1330</v>
      </c>
      <c r="H88" t="s">
        <v>442</v>
      </c>
      <c r="I88" t="s">
        <v>1331</v>
      </c>
      <c r="J88">
        <v>1881</v>
      </c>
      <c r="K88" t="s">
        <v>77</v>
      </c>
      <c r="L88">
        <v>506</v>
      </c>
      <c r="M88" t="s">
        <v>196</v>
      </c>
      <c r="N88">
        <v>129</v>
      </c>
      <c r="O88" t="s">
        <v>313</v>
      </c>
    </row>
    <row r="89" spans="2:16" x14ac:dyDescent="0.2">
      <c r="B89" t="s">
        <v>163</v>
      </c>
      <c r="C89" t="str">
        <f t="shared" si="1"/>
        <v>Epilissus_cuprarius-id-26</v>
      </c>
      <c r="E89" t="s">
        <v>164</v>
      </c>
      <c r="F89" t="s">
        <v>165</v>
      </c>
      <c r="G89" t="s">
        <v>166</v>
      </c>
      <c r="H89" t="s">
        <v>18</v>
      </c>
      <c r="I89" t="s">
        <v>167</v>
      </c>
      <c r="J89">
        <v>1774</v>
      </c>
      <c r="K89" t="s">
        <v>77</v>
      </c>
      <c r="L89">
        <v>505</v>
      </c>
      <c r="M89" t="s">
        <v>121</v>
      </c>
      <c r="N89">
        <v>144</v>
      </c>
      <c r="O89" t="s">
        <v>168</v>
      </c>
      <c r="P89" t="s">
        <v>23</v>
      </c>
    </row>
    <row r="90" spans="2:16" x14ac:dyDescent="0.2">
      <c r="B90" t="s">
        <v>482</v>
      </c>
      <c r="C90" t="str">
        <f t="shared" si="1"/>
        <v>Epilissus_fuscovirens   -id-93</v>
      </c>
      <c r="E90" t="s">
        <v>164</v>
      </c>
      <c r="F90" t="s">
        <v>483</v>
      </c>
      <c r="G90" t="s">
        <v>484</v>
      </c>
      <c r="H90" t="s">
        <v>442</v>
      </c>
      <c r="I90" t="s">
        <v>485</v>
      </c>
      <c r="J90">
        <v>2183</v>
      </c>
      <c r="K90" t="s">
        <v>77</v>
      </c>
      <c r="L90">
        <v>540</v>
      </c>
      <c r="M90" t="s">
        <v>78</v>
      </c>
      <c r="N90">
        <v>170</v>
      </c>
      <c r="O90" t="s">
        <v>486</v>
      </c>
    </row>
    <row r="91" spans="2:16" x14ac:dyDescent="0.2">
      <c r="B91" t="s">
        <v>497</v>
      </c>
      <c r="C91" t="str">
        <f t="shared" si="1"/>
        <v>Epilissus_morio   -id-96</v>
      </c>
      <c r="E91" t="s">
        <v>164</v>
      </c>
      <c r="F91" t="s">
        <v>498</v>
      </c>
      <c r="G91" t="s">
        <v>499</v>
      </c>
      <c r="H91" t="s">
        <v>442</v>
      </c>
      <c r="I91" t="s">
        <v>500</v>
      </c>
      <c r="J91">
        <v>2160</v>
      </c>
      <c r="K91" t="s">
        <v>77</v>
      </c>
      <c r="L91">
        <v>1098</v>
      </c>
      <c r="M91" t="s">
        <v>495</v>
      </c>
      <c r="N91">
        <v>75</v>
      </c>
      <c r="O91" t="s">
        <v>501</v>
      </c>
    </row>
    <row r="92" spans="2:16" x14ac:dyDescent="0.2">
      <c r="B92" t="s">
        <v>1456</v>
      </c>
      <c r="C92" t="str">
        <f t="shared" si="1"/>
        <v>Epilissus_sp morpho 1 -id-305</v>
      </c>
      <c r="E92" t="s">
        <v>164</v>
      </c>
      <c r="F92" t="s">
        <v>1457</v>
      </c>
      <c r="G92" t="s">
        <v>1458</v>
      </c>
      <c r="H92" t="s">
        <v>442</v>
      </c>
      <c r="I92" t="s">
        <v>1459</v>
      </c>
      <c r="J92">
        <v>2093</v>
      </c>
      <c r="K92" t="s">
        <v>77</v>
      </c>
      <c r="L92">
        <v>505</v>
      </c>
      <c r="M92" t="s">
        <v>121</v>
      </c>
      <c r="N92">
        <v>131</v>
      </c>
      <c r="O92" t="s">
        <v>299</v>
      </c>
    </row>
    <row r="93" spans="2:16" x14ac:dyDescent="0.2">
      <c r="B93" t="s">
        <v>1460</v>
      </c>
      <c r="C93" t="str">
        <f t="shared" si="1"/>
        <v>Epilissus_sp morpho 2 -id-306</v>
      </c>
      <c r="E93" t="s">
        <v>164</v>
      </c>
      <c r="F93" t="s">
        <v>1444</v>
      </c>
      <c r="G93" t="s">
        <v>1461</v>
      </c>
      <c r="H93" t="s">
        <v>442</v>
      </c>
      <c r="I93" t="s">
        <v>1462</v>
      </c>
      <c r="J93">
        <v>2069</v>
      </c>
      <c r="K93" t="s">
        <v>77</v>
      </c>
      <c r="L93">
        <v>505</v>
      </c>
      <c r="M93" t="s">
        <v>121</v>
      </c>
      <c r="N93">
        <v>132</v>
      </c>
      <c r="O93" t="s">
        <v>335</v>
      </c>
    </row>
    <row r="94" spans="2:16" x14ac:dyDescent="0.2">
      <c r="B94" t="s">
        <v>783</v>
      </c>
      <c r="C94" t="str">
        <f t="shared" si="1"/>
        <v>Epilissus_sp1   -id-153</v>
      </c>
      <c r="E94" t="s">
        <v>164</v>
      </c>
      <c r="F94" t="s">
        <v>455</v>
      </c>
      <c r="G94" t="s">
        <v>784</v>
      </c>
      <c r="H94" t="s">
        <v>442</v>
      </c>
      <c r="I94" t="s">
        <v>785</v>
      </c>
      <c r="J94">
        <v>1872</v>
      </c>
      <c r="K94" t="s">
        <v>77</v>
      </c>
      <c r="L94">
        <v>507</v>
      </c>
      <c r="M94" t="s">
        <v>21</v>
      </c>
      <c r="N94">
        <v>88</v>
      </c>
      <c r="O94" t="s">
        <v>786</v>
      </c>
    </row>
    <row r="95" spans="2:16" x14ac:dyDescent="0.2">
      <c r="B95" t="s">
        <v>935</v>
      </c>
      <c r="C95" t="str">
        <f t="shared" si="1"/>
        <v>Epilissus_splendidus cf delphinensis  -id-185</v>
      </c>
      <c r="E95" t="s">
        <v>164</v>
      </c>
      <c r="F95" t="s">
        <v>936</v>
      </c>
      <c r="G95" t="s">
        <v>937</v>
      </c>
      <c r="H95" t="s">
        <v>442</v>
      </c>
      <c r="I95" t="s">
        <v>938</v>
      </c>
      <c r="J95">
        <v>2159</v>
      </c>
      <c r="K95" t="s">
        <v>77</v>
      </c>
      <c r="L95">
        <v>501</v>
      </c>
      <c r="M95" t="s">
        <v>48</v>
      </c>
      <c r="N95">
        <v>140</v>
      </c>
      <c r="O95" t="s">
        <v>939</v>
      </c>
    </row>
    <row r="96" spans="2:16" x14ac:dyDescent="0.2">
      <c r="B96" t="s">
        <v>300</v>
      </c>
      <c r="C96" t="str">
        <f t="shared" si="1"/>
        <v>Epilissus_splendidus splendidus-id-52</v>
      </c>
      <c r="E96" t="s">
        <v>164</v>
      </c>
      <c r="F96" t="s">
        <v>301</v>
      </c>
      <c r="G96" t="s">
        <v>302</v>
      </c>
      <c r="H96" t="s">
        <v>259</v>
      </c>
      <c r="I96" t="s">
        <v>303</v>
      </c>
      <c r="J96">
        <v>522</v>
      </c>
      <c r="K96" t="s">
        <v>261</v>
      </c>
      <c r="L96" t="s">
        <v>258</v>
      </c>
      <c r="M96" t="s">
        <v>258</v>
      </c>
      <c r="N96" t="s">
        <v>258</v>
      </c>
      <c r="O96" t="s">
        <v>258</v>
      </c>
      <c r="P96" t="s">
        <v>262</v>
      </c>
    </row>
    <row r="97" spans="2:16" x14ac:dyDescent="0.2">
      <c r="B97" t="s">
        <v>135</v>
      </c>
      <c r="C97" t="str">
        <f t="shared" si="1"/>
        <v>Epirinus_cf.silvestris-id-21</v>
      </c>
      <c r="E97" t="s">
        <v>136</v>
      </c>
      <c r="F97" t="s">
        <v>137</v>
      </c>
      <c r="G97" t="s">
        <v>138</v>
      </c>
      <c r="H97" t="s">
        <v>18</v>
      </c>
      <c r="I97" t="s">
        <v>139</v>
      </c>
      <c r="J97">
        <v>1587</v>
      </c>
      <c r="K97" t="s">
        <v>77</v>
      </c>
      <c r="L97">
        <v>505</v>
      </c>
      <c r="M97" t="s">
        <v>121</v>
      </c>
      <c r="N97">
        <v>114</v>
      </c>
      <c r="O97" t="s">
        <v>140</v>
      </c>
      <c r="P97" t="s">
        <v>23</v>
      </c>
    </row>
    <row r="98" spans="2:16" x14ac:dyDescent="0.2">
      <c r="B98" t="s">
        <v>716</v>
      </c>
      <c r="C98" t="str">
        <f t="shared" si="1"/>
        <v>Epirinus_flagellatus   -id-140</v>
      </c>
      <c r="E98" t="s">
        <v>136</v>
      </c>
      <c r="F98" t="s">
        <v>717</v>
      </c>
      <c r="G98" t="s">
        <v>718</v>
      </c>
      <c r="H98" t="s">
        <v>442</v>
      </c>
      <c r="I98" t="s">
        <v>719</v>
      </c>
      <c r="J98">
        <v>1926</v>
      </c>
      <c r="K98" t="s">
        <v>77</v>
      </c>
      <c r="L98">
        <v>507</v>
      </c>
      <c r="M98" t="s">
        <v>21</v>
      </c>
      <c r="N98">
        <v>46</v>
      </c>
      <c r="O98" t="s">
        <v>720</v>
      </c>
    </row>
    <row r="99" spans="2:16" x14ac:dyDescent="0.2">
      <c r="B99" t="s">
        <v>225</v>
      </c>
      <c r="C99" t="str">
        <f t="shared" si="1"/>
        <v>Epirinus_sp. 1-id-37</v>
      </c>
      <c r="E99" t="s">
        <v>136</v>
      </c>
      <c r="F99" t="s">
        <v>226</v>
      </c>
      <c r="G99" t="s">
        <v>227</v>
      </c>
      <c r="H99" t="s">
        <v>18</v>
      </c>
      <c r="I99" t="s">
        <v>228</v>
      </c>
      <c r="J99">
        <v>1770</v>
      </c>
      <c r="K99" t="s">
        <v>77</v>
      </c>
      <c r="L99">
        <v>505</v>
      </c>
      <c r="M99" t="s">
        <v>121</v>
      </c>
      <c r="N99">
        <v>118</v>
      </c>
      <c r="O99" t="s">
        <v>229</v>
      </c>
      <c r="P99" t="s">
        <v>23</v>
      </c>
    </row>
    <row r="100" spans="2:16" x14ac:dyDescent="0.2">
      <c r="B100" t="s">
        <v>808</v>
      </c>
      <c r="C100" t="str">
        <f t="shared" si="1"/>
        <v>Euoniticellus_fulvus   -id-158</v>
      </c>
      <c r="E100" t="s">
        <v>809</v>
      </c>
      <c r="F100" t="s">
        <v>810</v>
      </c>
      <c r="G100" t="s">
        <v>811</v>
      </c>
      <c r="H100" t="s">
        <v>442</v>
      </c>
      <c r="I100" t="s">
        <v>812</v>
      </c>
      <c r="J100">
        <v>2498</v>
      </c>
      <c r="K100" t="s">
        <v>77</v>
      </c>
      <c r="L100">
        <v>507</v>
      </c>
      <c r="M100" t="s">
        <v>21</v>
      </c>
      <c r="N100">
        <v>95</v>
      </c>
      <c r="O100" t="s">
        <v>813</v>
      </c>
    </row>
    <row r="101" spans="2:16" x14ac:dyDescent="0.2">
      <c r="B101" t="s">
        <v>1061</v>
      </c>
      <c r="C101" t="str">
        <f t="shared" si="1"/>
        <v>Eusaproecius_sp1   -id-211</v>
      </c>
      <c r="E101" t="s">
        <v>1062</v>
      </c>
      <c r="F101" t="s">
        <v>455</v>
      </c>
      <c r="G101" t="s">
        <v>1063</v>
      </c>
      <c r="H101" t="s">
        <v>442</v>
      </c>
      <c r="I101" t="s">
        <v>1064</v>
      </c>
      <c r="J101">
        <v>844</v>
      </c>
      <c r="K101" t="s">
        <v>77</v>
      </c>
      <c r="L101">
        <v>501</v>
      </c>
      <c r="M101" t="s">
        <v>48</v>
      </c>
      <c r="N101">
        <v>181</v>
      </c>
      <c r="O101" t="s">
        <v>1065</v>
      </c>
    </row>
    <row r="102" spans="2:16" x14ac:dyDescent="0.2">
      <c r="B102" t="s">
        <v>1158</v>
      </c>
      <c r="C102" t="str">
        <f t="shared" si="1"/>
        <v>Frankenbergerius_armatus   -id-234</v>
      </c>
      <c r="E102" t="s">
        <v>99</v>
      </c>
      <c r="F102" t="s">
        <v>1159</v>
      </c>
      <c r="G102" t="s">
        <v>1160</v>
      </c>
      <c r="H102" t="s">
        <v>442</v>
      </c>
      <c r="I102" t="s">
        <v>1161</v>
      </c>
      <c r="J102">
        <v>2329</v>
      </c>
      <c r="K102" t="s">
        <v>77</v>
      </c>
      <c r="L102">
        <v>1102</v>
      </c>
      <c r="M102" t="s">
        <v>59</v>
      </c>
      <c r="N102">
        <v>3</v>
      </c>
      <c r="O102" t="s">
        <v>609</v>
      </c>
    </row>
    <row r="103" spans="2:16" x14ac:dyDescent="0.2">
      <c r="B103" t="s">
        <v>98</v>
      </c>
      <c r="C103" t="str">
        <f t="shared" si="1"/>
        <v>Frankenbergerius_armatus-id-15</v>
      </c>
      <c r="E103" t="s">
        <v>99</v>
      </c>
      <c r="F103" t="s">
        <v>100</v>
      </c>
      <c r="G103" t="s">
        <v>101</v>
      </c>
      <c r="H103" t="s">
        <v>18</v>
      </c>
      <c r="I103" t="s">
        <v>102</v>
      </c>
      <c r="J103">
        <v>1461</v>
      </c>
      <c r="K103" t="s">
        <v>77</v>
      </c>
      <c r="L103">
        <v>504</v>
      </c>
      <c r="M103" t="s">
        <v>78</v>
      </c>
      <c r="N103">
        <v>155</v>
      </c>
      <c r="O103" t="s">
        <v>103</v>
      </c>
      <c r="P103" t="s">
        <v>23</v>
      </c>
    </row>
    <row r="104" spans="2:16" x14ac:dyDescent="0.2">
      <c r="B104" t="s">
        <v>773</v>
      </c>
      <c r="C104" t="str">
        <f t="shared" si="1"/>
        <v>Garreta_unicolor   -id-151</v>
      </c>
      <c r="E104" t="s">
        <v>774</v>
      </c>
      <c r="F104" t="s">
        <v>775</v>
      </c>
      <c r="G104" t="s">
        <v>776</v>
      </c>
      <c r="H104" t="s">
        <v>442</v>
      </c>
      <c r="I104" t="s">
        <v>777</v>
      </c>
      <c r="J104">
        <v>1843</v>
      </c>
      <c r="K104" t="s">
        <v>77</v>
      </c>
      <c r="L104">
        <v>507</v>
      </c>
      <c r="M104" t="s">
        <v>21</v>
      </c>
      <c r="N104">
        <v>42</v>
      </c>
      <c r="O104" t="s">
        <v>778</v>
      </c>
    </row>
    <row r="105" spans="2:16" x14ac:dyDescent="0.2">
      <c r="B105" t="s">
        <v>304</v>
      </c>
      <c r="C105" t="str">
        <f t="shared" si="1"/>
        <v>Geotrupes_opacus-id-53</v>
      </c>
      <c r="E105" t="s">
        <v>305</v>
      </c>
      <c r="F105" t="s">
        <v>155</v>
      </c>
      <c r="G105" t="s">
        <v>306</v>
      </c>
      <c r="H105" t="s">
        <v>18</v>
      </c>
      <c r="I105" t="s">
        <v>307</v>
      </c>
      <c r="J105">
        <v>1295</v>
      </c>
      <c r="K105" t="s">
        <v>77</v>
      </c>
      <c r="L105">
        <v>505</v>
      </c>
      <c r="M105" t="s">
        <v>121</v>
      </c>
      <c r="N105">
        <v>149</v>
      </c>
      <c r="O105" t="s">
        <v>308</v>
      </c>
      <c r="P105" t="s">
        <v>23</v>
      </c>
    </row>
    <row r="106" spans="2:16" x14ac:dyDescent="0.2">
      <c r="B106" t="s">
        <v>309</v>
      </c>
      <c r="C106" t="str">
        <f t="shared" si="1"/>
        <v>Geotrupes_splendidus-id-54</v>
      </c>
      <c r="E106" t="s">
        <v>305</v>
      </c>
      <c r="F106" t="s">
        <v>310</v>
      </c>
      <c r="G106" t="s">
        <v>311</v>
      </c>
      <c r="H106" t="s">
        <v>18</v>
      </c>
      <c r="I106" t="s">
        <v>312</v>
      </c>
      <c r="J106">
        <v>1311</v>
      </c>
      <c r="K106" t="s">
        <v>77</v>
      </c>
      <c r="L106">
        <v>504</v>
      </c>
      <c r="M106" t="s">
        <v>78</v>
      </c>
      <c r="N106">
        <v>129</v>
      </c>
      <c r="O106" t="s">
        <v>313</v>
      </c>
      <c r="P106" t="s">
        <v>23</v>
      </c>
    </row>
    <row r="107" spans="2:16" x14ac:dyDescent="0.2">
      <c r="B107" t="s">
        <v>1477</v>
      </c>
      <c r="C107" t="str">
        <f t="shared" si="1"/>
        <v>Grebennikovius_lupanganus sp n1 -id-311</v>
      </c>
      <c r="E107" t="s">
        <v>1478</v>
      </c>
      <c r="F107" t="s">
        <v>1479</v>
      </c>
      <c r="G107" t="s">
        <v>1480</v>
      </c>
      <c r="H107" t="s">
        <v>442</v>
      </c>
      <c r="I107" t="s">
        <v>1481</v>
      </c>
      <c r="J107">
        <v>691</v>
      </c>
      <c r="K107" t="s">
        <v>77</v>
      </c>
      <c r="L107">
        <v>505</v>
      </c>
      <c r="M107" t="s">
        <v>121</v>
      </c>
      <c r="N107">
        <v>138</v>
      </c>
      <c r="O107" t="s">
        <v>930</v>
      </c>
    </row>
    <row r="108" spans="2:16" x14ac:dyDescent="0.2">
      <c r="B108" t="s">
        <v>1047</v>
      </c>
      <c r="C108" t="str">
        <f t="shared" si="1"/>
        <v>Gymnopleurus_aenescens   -id-208</v>
      </c>
      <c r="E108" t="s">
        <v>1048</v>
      </c>
      <c r="F108" t="s">
        <v>1049</v>
      </c>
      <c r="G108" t="s">
        <v>1050</v>
      </c>
      <c r="H108" t="s">
        <v>442</v>
      </c>
      <c r="I108" t="s">
        <v>1051</v>
      </c>
      <c r="J108">
        <v>1762</v>
      </c>
      <c r="K108" t="s">
        <v>77</v>
      </c>
      <c r="L108">
        <v>501</v>
      </c>
      <c r="M108" t="s">
        <v>48</v>
      </c>
      <c r="N108">
        <v>175</v>
      </c>
      <c r="O108" t="s">
        <v>173</v>
      </c>
    </row>
    <row r="109" spans="2:16" x14ac:dyDescent="0.2">
      <c r="B109" t="s">
        <v>116</v>
      </c>
      <c r="C109" t="str">
        <f t="shared" si="1"/>
        <v>Gyronotus_pumilus-id-18</v>
      </c>
      <c r="E109" t="s">
        <v>117</v>
      </c>
      <c r="F109" t="s">
        <v>118</v>
      </c>
      <c r="G109" t="s">
        <v>119</v>
      </c>
      <c r="H109" t="s">
        <v>18</v>
      </c>
      <c r="I109" t="s">
        <v>120</v>
      </c>
      <c r="J109">
        <v>1886</v>
      </c>
      <c r="K109" t="s">
        <v>77</v>
      </c>
      <c r="L109">
        <v>505</v>
      </c>
      <c r="M109" t="s">
        <v>121</v>
      </c>
      <c r="N109">
        <v>98</v>
      </c>
      <c r="O109" t="s">
        <v>122</v>
      </c>
      <c r="P109" t="s">
        <v>23</v>
      </c>
    </row>
    <row r="110" spans="2:16" x14ac:dyDescent="0.2">
      <c r="B110" t="s">
        <v>840</v>
      </c>
      <c r="C110" t="str">
        <f t="shared" si="1"/>
        <v>Hammondantus_psammophilus   -id-164</v>
      </c>
      <c r="E110" t="s">
        <v>841</v>
      </c>
      <c r="F110" t="s">
        <v>842</v>
      </c>
      <c r="G110" t="s">
        <v>843</v>
      </c>
      <c r="H110" t="s">
        <v>442</v>
      </c>
      <c r="I110" t="s">
        <v>844</v>
      </c>
      <c r="J110">
        <v>2025</v>
      </c>
      <c r="K110" t="s">
        <v>77</v>
      </c>
      <c r="L110">
        <v>501</v>
      </c>
      <c r="M110" t="s">
        <v>48</v>
      </c>
      <c r="N110">
        <v>104</v>
      </c>
      <c r="O110" t="s">
        <v>91</v>
      </c>
    </row>
    <row r="111" spans="2:16" x14ac:dyDescent="0.2">
      <c r="B111" t="s">
        <v>1155</v>
      </c>
      <c r="C111" t="str">
        <f t="shared" si="1"/>
        <v>Hammondantus_psammophilus   -id-233</v>
      </c>
      <c r="E111" t="s">
        <v>841</v>
      </c>
      <c r="F111" t="s">
        <v>842</v>
      </c>
      <c r="G111" t="s">
        <v>1156</v>
      </c>
      <c r="H111" t="s">
        <v>442</v>
      </c>
      <c r="I111" t="s">
        <v>1157</v>
      </c>
      <c r="J111">
        <v>2221</v>
      </c>
      <c r="K111" t="s">
        <v>77</v>
      </c>
      <c r="L111">
        <v>1102</v>
      </c>
      <c r="M111" t="s">
        <v>59</v>
      </c>
      <c r="N111">
        <v>81</v>
      </c>
      <c r="O111" t="s">
        <v>604</v>
      </c>
    </row>
    <row r="112" spans="2:16" x14ac:dyDescent="0.2">
      <c r="B112" t="s">
        <v>104</v>
      </c>
      <c r="C112" t="str">
        <f t="shared" si="1"/>
        <v>Hamonthophagus_depressus-id-16</v>
      </c>
      <c r="E112" t="s">
        <v>105</v>
      </c>
      <c r="F112" t="s">
        <v>106</v>
      </c>
      <c r="G112" t="s">
        <v>107</v>
      </c>
      <c r="H112" t="s">
        <v>18</v>
      </c>
      <c r="I112" t="s">
        <v>108</v>
      </c>
      <c r="J112">
        <v>1922</v>
      </c>
      <c r="K112" t="s">
        <v>77</v>
      </c>
      <c r="L112">
        <v>504</v>
      </c>
      <c r="M112" t="s">
        <v>78</v>
      </c>
      <c r="N112">
        <v>157</v>
      </c>
      <c r="O112" t="s">
        <v>109</v>
      </c>
      <c r="P112" t="s">
        <v>23</v>
      </c>
    </row>
    <row r="113" spans="1:16" x14ac:dyDescent="0.2">
      <c r="B113" t="s">
        <v>1274</v>
      </c>
      <c r="C113" t="str">
        <f t="shared" si="1"/>
        <v>Haroldius_sp1   -id-261</v>
      </c>
      <c r="E113" t="s">
        <v>1253</v>
      </c>
      <c r="F113" t="s">
        <v>455</v>
      </c>
      <c r="G113" t="s">
        <v>1275</v>
      </c>
      <c r="H113" t="s">
        <v>442</v>
      </c>
      <c r="I113" t="s">
        <v>1276</v>
      </c>
      <c r="J113">
        <v>1554</v>
      </c>
      <c r="K113" t="s">
        <v>77</v>
      </c>
      <c r="L113">
        <v>1102</v>
      </c>
      <c r="M113" t="s">
        <v>59</v>
      </c>
      <c r="N113">
        <v>96</v>
      </c>
      <c r="O113" t="s">
        <v>772</v>
      </c>
    </row>
    <row r="114" spans="1:16" x14ac:dyDescent="0.2">
      <c r="B114" t="s">
        <v>1252</v>
      </c>
      <c r="C114" t="str">
        <f t="shared" si="1"/>
        <v>Haroldius_sp2   -id-256</v>
      </c>
      <c r="E114" t="s">
        <v>1253</v>
      </c>
      <c r="F114" t="s">
        <v>478</v>
      </c>
      <c r="G114" t="s">
        <v>1254</v>
      </c>
      <c r="H114" t="s">
        <v>442</v>
      </c>
      <c r="I114" t="s">
        <v>1255</v>
      </c>
      <c r="J114">
        <v>1448</v>
      </c>
      <c r="K114" t="s">
        <v>77</v>
      </c>
      <c r="L114">
        <v>1102</v>
      </c>
      <c r="M114" t="s">
        <v>59</v>
      </c>
      <c r="N114">
        <v>51</v>
      </c>
      <c r="O114" t="s">
        <v>726</v>
      </c>
    </row>
    <row r="115" spans="1:16" x14ac:dyDescent="0.2">
      <c r="B115" t="s">
        <v>29</v>
      </c>
      <c r="C115" t="str">
        <f t="shared" si="1"/>
        <v>Helictopleurus _cf. Furcicornis-id-3</v>
      </c>
      <c r="E115" t="s">
        <v>15</v>
      </c>
      <c r="F115" t="s">
        <v>30</v>
      </c>
      <c r="G115" t="s">
        <v>31</v>
      </c>
      <c r="H115" t="s">
        <v>18</v>
      </c>
      <c r="I115" t="s">
        <v>32</v>
      </c>
      <c r="J115">
        <v>2048</v>
      </c>
      <c r="K115" t="s">
        <v>20</v>
      </c>
      <c r="L115">
        <v>507</v>
      </c>
      <c r="M115" t="s">
        <v>21</v>
      </c>
      <c r="N115">
        <v>19</v>
      </c>
      <c r="O115" t="s">
        <v>33</v>
      </c>
      <c r="P115" t="s">
        <v>23</v>
      </c>
    </row>
    <row r="116" spans="1:16" x14ac:dyDescent="0.2">
      <c r="B116" t="s">
        <v>55</v>
      </c>
      <c r="C116" t="str">
        <f t="shared" si="1"/>
        <v>Helictopleurus _fasciolatus fasciolatus-id-8</v>
      </c>
      <c r="E116" t="s">
        <v>15</v>
      </c>
      <c r="F116" t="s">
        <v>56</v>
      </c>
      <c r="G116" t="s">
        <v>57</v>
      </c>
      <c r="H116" t="s">
        <v>18</v>
      </c>
      <c r="I116" t="s">
        <v>58</v>
      </c>
      <c r="J116">
        <v>2210</v>
      </c>
      <c r="K116" t="s">
        <v>20</v>
      </c>
      <c r="L116">
        <v>1102</v>
      </c>
      <c r="M116" t="s">
        <v>59</v>
      </c>
      <c r="N116">
        <v>20</v>
      </c>
      <c r="O116" t="s">
        <v>60</v>
      </c>
      <c r="P116" t="s">
        <v>23</v>
      </c>
    </row>
    <row r="117" spans="1:16" x14ac:dyDescent="0.2">
      <c r="A117">
        <f ca="1">VLOOKUP("*" &amp; LEFT(A117, 5) &amp; "*", ReferenceList, 1, FALSE)</f>
        <v>0</v>
      </c>
      <c r="B117" t="s">
        <v>14</v>
      </c>
      <c r="C117" t="str">
        <f t="shared" si="1"/>
        <v>Helictopleurus _fasciolatus obscurus-id-1</v>
      </c>
      <c r="E117" t="s">
        <v>15</v>
      </c>
      <c r="F117" t="s">
        <v>16</v>
      </c>
      <c r="G117" t="s">
        <v>17</v>
      </c>
      <c r="H117" t="s">
        <v>18</v>
      </c>
      <c r="I117" t="s">
        <v>19</v>
      </c>
      <c r="J117">
        <v>2539</v>
      </c>
      <c r="K117" t="s">
        <v>20</v>
      </c>
      <c r="L117">
        <v>507</v>
      </c>
      <c r="M117" t="s">
        <v>21</v>
      </c>
      <c r="N117">
        <v>25</v>
      </c>
      <c r="O117" t="s">
        <v>22</v>
      </c>
      <c r="P117" t="s">
        <v>23</v>
      </c>
    </row>
    <row r="118" spans="1:16" x14ac:dyDescent="0.2">
      <c r="B118" t="s">
        <v>24</v>
      </c>
      <c r="C118" t="str">
        <f t="shared" si="1"/>
        <v>Helictopleurus _fasciolatus pseudofasciolatus-id-2</v>
      </c>
      <c r="E118" t="s">
        <v>15</v>
      </c>
      <c r="F118" t="s">
        <v>25</v>
      </c>
      <c r="G118" t="s">
        <v>26</v>
      </c>
      <c r="H118" t="s">
        <v>18</v>
      </c>
      <c r="I118" t="s">
        <v>27</v>
      </c>
      <c r="J118">
        <v>2499</v>
      </c>
      <c r="K118" t="s">
        <v>20</v>
      </c>
      <c r="L118">
        <v>507</v>
      </c>
      <c r="M118" t="s">
        <v>21</v>
      </c>
      <c r="N118">
        <v>63</v>
      </c>
      <c r="O118" t="s">
        <v>28</v>
      </c>
      <c r="P118" t="s">
        <v>23</v>
      </c>
    </row>
    <row r="119" spans="1:16" x14ac:dyDescent="0.2">
      <c r="B119" t="s">
        <v>50</v>
      </c>
      <c r="C119" t="str">
        <f t="shared" si="1"/>
        <v>Helictopleurus _neuter-id-7</v>
      </c>
      <c r="E119" t="s">
        <v>15</v>
      </c>
      <c r="F119" t="s">
        <v>51</v>
      </c>
      <c r="G119" t="s">
        <v>52</v>
      </c>
      <c r="H119" t="s">
        <v>18</v>
      </c>
      <c r="I119" t="s">
        <v>53</v>
      </c>
      <c r="J119">
        <v>2571</v>
      </c>
      <c r="K119" t="s">
        <v>20</v>
      </c>
      <c r="L119">
        <v>501</v>
      </c>
      <c r="M119" t="s">
        <v>48</v>
      </c>
      <c r="N119">
        <v>128</v>
      </c>
      <c r="O119" t="s">
        <v>54</v>
      </c>
      <c r="P119" t="s">
        <v>23</v>
      </c>
    </row>
    <row r="120" spans="1:16" x14ac:dyDescent="0.2">
      <c r="B120" t="s">
        <v>61</v>
      </c>
      <c r="C120" t="str">
        <f t="shared" si="1"/>
        <v>Helictopleurus _nicollei-id-9</v>
      </c>
      <c r="E120" t="s">
        <v>15</v>
      </c>
      <c r="F120" t="s">
        <v>62</v>
      </c>
      <c r="G120" t="s">
        <v>63</v>
      </c>
      <c r="H120" t="s">
        <v>18</v>
      </c>
      <c r="I120" t="s">
        <v>64</v>
      </c>
      <c r="J120">
        <v>2464</v>
      </c>
      <c r="K120" t="s">
        <v>20</v>
      </c>
      <c r="L120">
        <v>1102</v>
      </c>
      <c r="M120" t="s">
        <v>59</v>
      </c>
      <c r="N120">
        <v>60</v>
      </c>
      <c r="O120" t="s">
        <v>65</v>
      </c>
      <c r="P120" t="s">
        <v>23</v>
      </c>
    </row>
    <row r="121" spans="1:16" x14ac:dyDescent="0.2">
      <c r="B121" t="s">
        <v>44</v>
      </c>
      <c r="C121" t="str">
        <f t="shared" si="1"/>
        <v>Helictopleurus _perrieri-id-6</v>
      </c>
      <c r="E121" t="s">
        <v>15</v>
      </c>
      <c r="F121" t="s">
        <v>45</v>
      </c>
      <c r="G121" t="s">
        <v>46</v>
      </c>
      <c r="H121" t="s">
        <v>18</v>
      </c>
      <c r="I121" t="s">
        <v>47</v>
      </c>
      <c r="J121">
        <v>2452</v>
      </c>
      <c r="K121" t="s">
        <v>20</v>
      </c>
      <c r="L121">
        <v>501</v>
      </c>
      <c r="M121" t="s">
        <v>48</v>
      </c>
      <c r="N121">
        <v>119</v>
      </c>
      <c r="O121" t="s">
        <v>49</v>
      </c>
      <c r="P121" t="s">
        <v>23</v>
      </c>
    </row>
    <row r="122" spans="1:16" x14ac:dyDescent="0.2">
      <c r="B122" t="s">
        <v>39</v>
      </c>
      <c r="C122" t="str">
        <f t="shared" si="1"/>
        <v>Helictopleurus _sinuatocornis-id-5</v>
      </c>
      <c r="E122" t="s">
        <v>15</v>
      </c>
      <c r="F122" t="s">
        <v>40</v>
      </c>
      <c r="G122" t="s">
        <v>41</v>
      </c>
      <c r="H122" t="s">
        <v>18</v>
      </c>
      <c r="I122" t="s">
        <v>42</v>
      </c>
      <c r="J122">
        <v>2656</v>
      </c>
      <c r="K122" t="s">
        <v>20</v>
      </c>
      <c r="L122">
        <v>507</v>
      </c>
      <c r="M122" t="s">
        <v>21</v>
      </c>
      <c r="N122">
        <v>28</v>
      </c>
      <c r="O122" t="s">
        <v>43</v>
      </c>
      <c r="P122" t="s">
        <v>23</v>
      </c>
    </row>
    <row r="123" spans="1:16" x14ac:dyDescent="0.2">
      <c r="B123" t="s">
        <v>34</v>
      </c>
      <c r="C123" t="str">
        <f t="shared" si="1"/>
        <v>Helictopleurus _undatus-id-4</v>
      </c>
      <c r="E123" t="s">
        <v>15</v>
      </c>
      <c r="F123" t="s">
        <v>35</v>
      </c>
      <c r="G123" t="s">
        <v>36</v>
      </c>
      <c r="H123" t="s">
        <v>18</v>
      </c>
      <c r="I123" t="s">
        <v>37</v>
      </c>
      <c r="J123">
        <v>2243</v>
      </c>
      <c r="K123" t="s">
        <v>20</v>
      </c>
      <c r="L123">
        <v>507</v>
      </c>
      <c r="M123" t="s">
        <v>21</v>
      </c>
      <c r="N123">
        <v>17</v>
      </c>
      <c r="O123" t="s">
        <v>38</v>
      </c>
      <c r="P123" t="s">
        <v>23</v>
      </c>
    </row>
    <row r="124" spans="1:16" x14ac:dyDescent="0.2">
      <c r="B124" t="s">
        <v>463</v>
      </c>
      <c r="C124" t="str">
        <f t="shared" si="1"/>
        <v>Helictopleurus_aurocupreus   -id-89</v>
      </c>
      <c r="E124" t="s">
        <v>87</v>
      </c>
      <c r="F124" t="s">
        <v>464</v>
      </c>
      <c r="G124" t="s">
        <v>465</v>
      </c>
      <c r="H124" t="s">
        <v>442</v>
      </c>
      <c r="I124" t="s">
        <v>466</v>
      </c>
      <c r="J124">
        <v>2285</v>
      </c>
      <c r="K124" t="s">
        <v>77</v>
      </c>
      <c r="L124">
        <v>504</v>
      </c>
      <c r="M124" t="s">
        <v>78</v>
      </c>
      <c r="N124">
        <v>83</v>
      </c>
      <c r="O124" t="s">
        <v>467</v>
      </c>
    </row>
    <row r="125" spans="1:16" x14ac:dyDescent="0.2">
      <c r="B125" t="s">
        <v>569</v>
      </c>
      <c r="C125" t="str">
        <f t="shared" si="1"/>
        <v>Helictopleurus_cambeforti   -id-111</v>
      </c>
      <c r="E125" t="s">
        <v>87</v>
      </c>
      <c r="F125" t="s">
        <v>570</v>
      </c>
      <c r="G125" t="s">
        <v>571</v>
      </c>
      <c r="H125" t="s">
        <v>442</v>
      </c>
      <c r="I125" t="s">
        <v>572</v>
      </c>
      <c r="J125">
        <v>2684</v>
      </c>
      <c r="K125" t="s">
        <v>77</v>
      </c>
      <c r="L125">
        <v>507</v>
      </c>
      <c r="M125" t="s">
        <v>21</v>
      </c>
      <c r="N125">
        <v>6</v>
      </c>
      <c r="O125" t="s">
        <v>573</v>
      </c>
    </row>
    <row r="126" spans="1:16" x14ac:dyDescent="0.2">
      <c r="B126" t="s">
        <v>530</v>
      </c>
      <c r="C126" t="str">
        <f t="shared" si="1"/>
        <v>Helictopleurus_carbonarius   -id-103</v>
      </c>
      <c r="E126" t="s">
        <v>87</v>
      </c>
      <c r="F126" t="s">
        <v>531</v>
      </c>
      <c r="G126" t="s">
        <v>532</v>
      </c>
      <c r="H126" t="s">
        <v>442</v>
      </c>
      <c r="I126" t="s">
        <v>533</v>
      </c>
      <c r="J126">
        <v>2368</v>
      </c>
      <c r="K126" t="s">
        <v>77</v>
      </c>
      <c r="L126">
        <v>507</v>
      </c>
      <c r="M126" t="s">
        <v>21</v>
      </c>
      <c r="N126">
        <v>7</v>
      </c>
      <c r="O126" t="s">
        <v>534</v>
      </c>
    </row>
    <row r="127" spans="1:16" x14ac:dyDescent="0.2">
      <c r="B127" t="s">
        <v>579</v>
      </c>
      <c r="C127" t="str">
        <f t="shared" si="1"/>
        <v>Helictopleurus_cf steineri n sp-id-113</v>
      </c>
      <c r="E127" t="s">
        <v>87</v>
      </c>
      <c r="F127" t="s">
        <v>580</v>
      </c>
      <c r="G127" t="s">
        <v>581</v>
      </c>
      <c r="H127" t="s">
        <v>442</v>
      </c>
      <c r="I127" t="s">
        <v>582</v>
      </c>
      <c r="J127">
        <v>2672</v>
      </c>
      <c r="K127" t="s">
        <v>77</v>
      </c>
      <c r="L127">
        <v>507</v>
      </c>
      <c r="M127" t="s">
        <v>21</v>
      </c>
      <c r="N127">
        <v>57</v>
      </c>
      <c r="O127" t="s">
        <v>583</v>
      </c>
    </row>
    <row r="128" spans="1:16" x14ac:dyDescent="0.2">
      <c r="B128" t="s">
        <v>540</v>
      </c>
      <c r="C128" t="str">
        <f t="shared" si="1"/>
        <v>Helictopleurus_coruscus   -id-105</v>
      </c>
      <c r="E128" t="s">
        <v>87</v>
      </c>
      <c r="F128" t="s">
        <v>541</v>
      </c>
      <c r="G128" t="s">
        <v>542</v>
      </c>
      <c r="H128" t="s">
        <v>442</v>
      </c>
      <c r="I128" t="s">
        <v>543</v>
      </c>
      <c r="J128">
        <v>2458</v>
      </c>
      <c r="K128" t="s">
        <v>77</v>
      </c>
      <c r="L128">
        <v>507</v>
      </c>
      <c r="M128" t="s">
        <v>21</v>
      </c>
      <c r="N128">
        <v>54</v>
      </c>
      <c r="O128" t="s">
        <v>544</v>
      </c>
    </row>
    <row r="129" spans="2:16" x14ac:dyDescent="0.2">
      <c r="B129" t="s">
        <v>600</v>
      </c>
      <c r="C129" t="str">
        <f t="shared" si="1"/>
        <v>Helictopleurus_cribricollis   -id-117</v>
      </c>
      <c r="E129" t="s">
        <v>87</v>
      </c>
      <c r="F129" t="s">
        <v>601</v>
      </c>
      <c r="G129" t="s">
        <v>602</v>
      </c>
      <c r="H129" t="s">
        <v>442</v>
      </c>
      <c r="I129" t="s">
        <v>603</v>
      </c>
      <c r="J129">
        <v>2620</v>
      </c>
      <c r="K129" t="s">
        <v>77</v>
      </c>
      <c r="L129">
        <v>507</v>
      </c>
      <c r="M129" t="s">
        <v>21</v>
      </c>
      <c r="N129">
        <v>81</v>
      </c>
      <c r="O129" t="s">
        <v>604</v>
      </c>
    </row>
    <row r="130" spans="2:16" x14ac:dyDescent="0.2">
      <c r="B130" t="s">
        <v>564</v>
      </c>
      <c r="C130" t="str">
        <f t="shared" ref="C130:C193" si="2">CONCATENATE(E130,"_",F130, "-", B130)</f>
        <v>Helictopleurus_dorbignyi   -id-110</v>
      </c>
      <c r="E130" t="s">
        <v>87</v>
      </c>
      <c r="F130" t="s">
        <v>565</v>
      </c>
      <c r="G130" t="s">
        <v>566</v>
      </c>
      <c r="H130" t="s">
        <v>442</v>
      </c>
      <c r="I130" t="s">
        <v>567</v>
      </c>
      <c r="J130">
        <v>2483</v>
      </c>
      <c r="K130" t="s">
        <v>77</v>
      </c>
      <c r="L130">
        <v>507</v>
      </c>
      <c r="M130" t="s">
        <v>21</v>
      </c>
      <c r="N130">
        <v>90</v>
      </c>
      <c r="O130" t="s">
        <v>568</v>
      </c>
    </row>
    <row r="131" spans="2:16" x14ac:dyDescent="0.2">
      <c r="B131" t="s">
        <v>516</v>
      </c>
      <c r="C131" t="str">
        <f t="shared" si="2"/>
        <v>Helictopleurus_fasciolatus suturalis   -id-100</v>
      </c>
      <c r="E131" t="s">
        <v>87</v>
      </c>
      <c r="F131" t="s">
        <v>517</v>
      </c>
      <c r="G131" t="s">
        <v>518</v>
      </c>
      <c r="H131" t="s">
        <v>442</v>
      </c>
      <c r="I131" t="s">
        <v>519</v>
      </c>
      <c r="J131">
        <v>2546</v>
      </c>
      <c r="K131" t="s">
        <v>77</v>
      </c>
      <c r="L131">
        <v>507</v>
      </c>
      <c r="M131" t="s">
        <v>21</v>
      </c>
      <c r="N131">
        <v>59</v>
      </c>
      <c r="O131" t="s">
        <v>59</v>
      </c>
    </row>
    <row r="132" spans="2:16" x14ac:dyDescent="0.2">
      <c r="B132" t="s">
        <v>1447</v>
      </c>
      <c r="C132" t="str">
        <f t="shared" si="2"/>
        <v>Helictopleurus_fissicollis   -id-303</v>
      </c>
      <c r="E132" t="s">
        <v>87</v>
      </c>
      <c r="F132" t="s">
        <v>1448</v>
      </c>
      <c r="G132" t="s">
        <v>1449</v>
      </c>
      <c r="H132" t="s">
        <v>442</v>
      </c>
      <c r="I132" t="s">
        <v>1450</v>
      </c>
      <c r="J132">
        <v>2471</v>
      </c>
      <c r="K132" t="s">
        <v>77</v>
      </c>
      <c r="L132">
        <v>505</v>
      </c>
      <c r="M132" t="s">
        <v>121</v>
      </c>
      <c r="N132">
        <v>129</v>
      </c>
      <c r="O132" t="s">
        <v>313</v>
      </c>
    </row>
    <row r="133" spans="2:16" x14ac:dyDescent="0.2">
      <c r="B133" t="s">
        <v>595</v>
      </c>
      <c r="C133" t="str">
        <f t="shared" si="2"/>
        <v>Helictopleurus_fissicollis australis  -id-116</v>
      </c>
      <c r="E133" t="s">
        <v>87</v>
      </c>
      <c r="F133" t="s">
        <v>596</v>
      </c>
      <c r="G133" t="s">
        <v>597</v>
      </c>
      <c r="H133" t="s">
        <v>442</v>
      </c>
      <c r="I133" t="s">
        <v>598</v>
      </c>
      <c r="J133">
        <v>2635</v>
      </c>
      <c r="K133" t="s">
        <v>77</v>
      </c>
      <c r="L133">
        <v>507</v>
      </c>
      <c r="M133" t="s">
        <v>21</v>
      </c>
      <c r="N133">
        <v>40</v>
      </c>
      <c r="O133" t="s">
        <v>599</v>
      </c>
    </row>
    <row r="134" spans="2:16" x14ac:dyDescent="0.2">
      <c r="B134" t="s">
        <v>555</v>
      </c>
      <c r="C134" t="str">
        <f t="shared" si="2"/>
        <v>Helictopleurus_fissicollis morettoi   -id-108</v>
      </c>
      <c r="E134" t="s">
        <v>87</v>
      </c>
      <c r="F134" t="s">
        <v>556</v>
      </c>
      <c r="G134" t="s">
        <v>557</v>
      </c>
      <c r="H134" t="s">
        <v>442</v>
      </c>
      <c r="I134" t="s">
        <v>558</v>
      </c>
      <c r="J134">
        <v>2609</v>
      </c>
      <c r="K134" t="s">
        <v>77</v>
      </c>
      <c r="L134">
        <v>507</v>
      </c>
      <c r="M134" t="s">
        <v>21</v>
      </c>
      <c r="N134">
        <v>2</v>
      </c>
      <c r="O134" t="s">
        <v>559</v>
      </c>
    </row>
    <row r="135" spans="2:16" x14ac:dyDescent="0.2">
      <c r="B135" t="s">
        <v>1256</v>
      </c>
      <c r="C135" t="str">
        <f t="shared" si="2"/>
        <v>Helictopleurus_fulgens   -id-257</v>
      </c>
      <c r="E135" t="s">
        <v>87</v>
      </c>
      <c r="F135" t="s">
        <v>1257</v>
      </c>
      <c r="G135" t="s">
        <v>1258</v>
      </c>
      <c r="H135" t="s">
        <v>442</v>
      </c>
      <c r="I135" t="s">
        <v>1259</v>
      </c>
      <c r="J135">
        <v>2549</v>
      </c>
      <c r="K135" t="s">
        <v>77</v>
      </c>
      <c r="L135">
        <v>1102</v>
      </c>
      <c r="M135" t="s">
        <v>59</v>
      </c>
      <c r="N135">
        <v>84</v>
      </c>
      <c r="O135" t="s">
        <v>736</v>
      </c>
    </row>
    <row r="136" spans="2:16" x14ac:dyDescent="0.2">
      <c r="B136" t="s">
        <v>560</v>
      </c>
      <c r="C136" t="str">
        <f t="shared" si="2"/>
        <v>Helictopleurus_fulgens purpuricollis   -id-109</v>
      </c>
      <c r="E136" t="s">
        <v>87</v>
      </c>
      <c r="F136" t="s">
        <v>561</v>
      </c>
      <c r="G136" t="s">
        <v>562</v>
      </c>
      <c r="H136" t="s">
        <v>442</v>
      </c>
      <c r="I136" t="s">
        <v>563</v>
      </c>
      <c r="J136">
        <v>2048</v>
      </c>
      <c r="K136" t="s">
        <v>77</v>
      </c>
      <c r="L136">
        <v>507</v>
      </c>
      <c r="M136" t="s">
        <v>21</v>
      </c>
      <c r="N136">
        <v>20</v>
      </c>
      <c r="O136" t="s">
        <v>60</v>
      </c>
    </row>
    <row r="137" spans="2:16" x14ac:dyDescent="0.2">
      <c r="B137" t="s">
        <v>824</v>
      </c>
      <c r="C137" t="str">
        <f t="shared" si="2"/>
        <v>Helictopleurus_furcicornis   -id-161</v>
      </c>
      <c r="E137" t="s">
        <v>87</v>
      </c>
      <c r="F137" t="s">
        <v>825</v>
      </c>
      <c r="G137" t="s">
        <v>826</v>
      </c>
      <c r="H137" t="s">
        <v>442</v>
      </c>
      <c r="I137" t="s">
        <v>827</v>
      </c>
      <c r="J137">
        <v>2462</v>
      </c>
      <c r="K137" t="s">
        <v>77</v>
      </c>
      <c r="L137">
        <v>501</v>
      </c>
      <c r="M137" t="s">
        <v>48</v>
      </c>
      <c r="N137">
        <v>99</v>
      </c>
      <c r="O137" t="s">
        <v>828</v>
      </c>
    </row>
    <row r="138" spans="2:16" x14ac:dyDescent="0.2">
      <c r="B138" t="s">
        <v>550</v>
      </c>
      <c r="C138" t="str">
        <f t="shared" si="2"/>
        <v>Helictopleurus_giganteus   -id-107</v>
      </c>
      <c r="E138" t="s">
        <v>87</v>
      </c>
      <c r="F138" t="s">
        <v>551</v>
      </c>
      <c r="G138" t="s">
        <v>552</v>
      </c>
      <c r="H138" t="s">
        <v>442</v>
      </c>
      <c r="I138" t="s">
        <v>553</v>
      </c>
      <c r="J138">
        <v>2669</v>
      </c>
      <c r="K138" t="s">
        <v>77</v>
      </c>
      <c r="L138">
        <v>507</v>
      </c>
      <c r="M138" t="s">
        <v>21</v>
      </c>
      <c r="N138">
        <v>39</v>
      </c>
      <c r="O138" t="s">
        <v>554</v>
      </c>
    </row>
    <row r="139" spans="2:16" x14ac:dyDescent="0.2">
      <c r="B139" t="s">
        <v>915</v>
      </c>
      <c r="C139" t="str">
        <f t="shared" si="2"/>
        <v>Helictopleurus_hanskii   -id-181</v>
      </c>
      <c r="E139" t="s">
        <v>87</v>
      </c>
      <c r="F139" t="s">
        <v>916</v>
      </c>
      <c r="G139" t="s">
        <v>917</v>
      </c>
      <c r="H139" t="s">
        <v>442</v>
      </c>
      <c r="I139" t="s">
        <v>918</v>
      </c>
      <c r="J139">
        <v>2506</v>
      </c>
      <c r="K139" t="s">
        <v>77</v>
      </c>
      <c r="L139">
        <v>501</v>
      </c>
      <c r="M139" t="s">
        <v>48</v>
      </c>
      <c r="N139">
        <v>134</v>
      </c>
      <c r="O139" t="s">
        <v>919</v>
      </c>
    </row>
    <row r="140" spans="2:16" x14ac:dyDescent="0.2">
      <c r="B140" t="s">
        <v>449</v>
      </c>
      <c r="C140" t="str">
        <f t="shared" si="2"/>
        <v>Helictopleurus_marsyas   -id-86</v>
      </c>
      <c r="E140" t="s">
        <v>87</v>
      </c>
      <c r="F140" t="s">
        <v>450</v>
      </c>
      <c r="G140" t="s">
        <v>451</v>
      </c>
      <c r="H140" t="s">
        <v>442</v>
      </c>
      <c r="I140" t="s">
        <v>452</v>
      </c>
      <c r="J140">
        <v>2470</v>
      </c>
      <c r="K140" t="s">
        <v>77</v>
      </c>
      <c r="L140">
        <v>504</v>
      </c>
      <c r="M140" t="s">
        <v>78</v>
      </c>
      <c r="N140">
        <v>58</v>
      </c>
      <c r="O140" t="s">
        <v>453</v>
      </c>
    </row>
    <row r="141" spans="2:16" x14ac:dyDescent="0.2">
      <c r="B141" t="s">
        <v>86</v>
      </c>
      <c r="C141" t="str">
        <f t="shared" si="2"/>
        <v>Helictopleurus_neoamplicollis-id-13</v>
      </c>
      <c r="E141" t="s">
        <v>87</v>
      </c>
      <c r="F141" t="s">
        <v>88</v>
      </c>
      <c r="G141" t="s">
        <v>89</v>
      </c>
      <c r="H141" t="s">
        <v>18</v>
      </c>
      <c r="I141" t="s">
        <v>90</v>
      </c>
      <c r="J141">
        <v>1599</v>
      </c>
      <c r="K141" t="s">
        <v>77</v>
      </c>
      <c r="L141">
        <v>504</v>
      </c>
      <c r="M141" t="s">
        <v>78</v>
      </c>
      <c r="N141">
        <v>104</v>
      </c>
      <c r="O141" t="s">
        <v>91</v>
      </c>
      <c r="P141" t="s">
        <v>23</v>
      </c>
    </row>
    <row r="142" spans="2:16" x14ac:dyDescent="0.2">
      <c r="B142" t="s">
        <v>931</v>
      </c>
      <c r="C142" t="str">
        <f t="shared" si="2"/>
        <v>Helictopleurus_nigricans   -id-184</v>
      </c>
      <c r="E142" t="s">
        <v>87</v>
      </c>
      <c r="F142" t="s">
        <v>932</v>
      </c>
      <c r="G142" t="s">
        <v>933</v>
      </c>
      <c r="H142" t="s">
        <v>442</v>
      </c>
      <c r="I142" t="s">
        <v>934</v>
      </c>
      <c r="J142">
        <v>2654</v>
      </c>
      <c r="K142" t="s">
        <v>77</v>
      </c>
      <c r="L142">
        <v>501</v>
      </c>
      <c r="M142" t="s">
        <v>48</v>
      </c>
      <c r="N142">
        <v>139</v>
      </c>
      <c r="O142" t="s">
        <v>428</v>
      </c>
    </row>
    <row r="143" spans="2:16" x14ac:dyDescent="0.2">
      <c r="B143" t="s">
        <v>1294</v>
      </c>
      <c r="C143" t="str">
        <f t="shared" si="2"/>
        <v>Helictopleurus_peyrierasi   -id-266</v>
      </c>
      <c r="E143" t="s">
        <v>87</v>
      </c>
      <c r="F143" t="s">
        <v>1295</v>
      </c>
      <c r="G143" t="s">
        <v>1296</v>
      </c>
      <c r="H143" t="s">
        <v>442</v>
      </c>
      <c r="I143" t="s">
        <v>1297</v>
      </c>
      <c r="J143">
        <v>1993</v>
      </c>
      <c r="K143" t="s">
        <v>77</v>
      </c>
      <c r="L143">
        <v>504</v>
      </c>
      <c r="M143" t="s">
        <v>78</v>
      </c>
      <c r="N143">
        <v>134</v>
      </c>
      <c r="O143" t="s">
        <v>919</v>
      </c>
    </row>
    <row r="144" spans="2:16" x14ac:dyDescent="0.2">
      <c r="B144" t="s">
        <v>158</v>
      </c>
      <c r="C144" t="str">
        <f t="shared" si="2"/>
        <v>Helictopleurus_politicollis-id-25</v>
      </c>
      <c r="E144" t="s">
        <v>87</v>
      </c>
      <c r="F144" t="s">
        <v>159</v>
      </c>
      <c r="G144" t="s">
        <v>160</v>
      </c>
      <c r="H144" t="s">
        <v>18</v>
      </c>
      <c r="I144" t="s">
        <v>161</v>
      </c>
      <c r="J144">
        <v>1684</v>
      </c>
      <c r="K144" t="s">
        <v>77</v>
      </c>
      <c r="L144">
        <v>505</v>
      </c>
      <c r="M144" t="s">
        <v>121</v>
      </c>
      <c r="N144">
        <v>136</v>
      </c>
      <c r="O144" t="s">
        <v>162</v>
      </c>
      <c r="P144" t="s">
        <v>23</v>
      </c>
    </row>
    <row r="145" spans="2:16" x14ac:dyDescent="0.2">
      <c r="B145" t="s">
        <v>1318</v>
      </c>
      <c r="C145" t="str">
        <f t="shared" si="2"/>
        <v>Helictopleurus_quadripunctatus   -id-272</v>
      </c>
      <c r="E145" t="s">
        <v>87</v>
      </c>
      <c r="F145" t="s">
        <v>1319</v>
      </c>
      <c r="G145" t="s">
        <v>1320</v>
      </c>
      <c r="H145" t="s">
        <v>442</v>
      </c>
      <c r="I145" t="s">
        <v>1321</v>
      </c>
      <c r="J145">
        <v>2114</v>
      </c>
      <c r="K145" t="s">
        <v>77</v>
      </c>
      <c r="L145">
        <v>505</v>
      </c>
      <c r="M145" t="s">
        <v>121</v>
      </c>
      <c r="N145">
        <v>184</v>
      </c>
      <c r="O145" t="s">
        <v>1322</v>
      </c>
    </row>
    <row r="146" spans="2:16" x14ac:dyDescent="0.2">
      <c r="B146" t="s">
        <v>652</v>
      </c>
      <c r="C146" t="str">
        <f t="shared" si="2"/>
        <v>Helictopleurus_rudicollis   -id-127</v>
      </c>
      <c r="E146" t="s">
        <v>87</v>
      </c>
      <c r="F146" t="s">
        <v>653</v>
      </c>
      <c r="G146" t="s">
        <v>654</v>
      </c>
      <c r="H146" t="s">
        <v>442</v>
      </c>
      <c r="I146" t="s">
        <v>655</v>
      </c>
      <c r="J146">
        <v>2368</v>
      </c>
      <c r="K146" t="s">
        <v>77</v>
      </c>
      <c r="L146">
        <v>507</v>
      </c>
      <c r="M146" t="s">
        <v>21</v>
      </c>
      <c r="N146">
        <v>8</v>
      </c>
      <c r="O146" t="s">
        <v>515</v>
      </c>
    </row>
    <row r="147" spans="2:16" x14ac:dyDescent="0.2">
      <c r="B147" t="s">
        <v>520</v>
      </c>
      <c r="C147" t="str">
        <f t="shared" si="2"/>
        <v>Helictopleurus_semivirens   -id-101</v>
      </c>
      <c r="E147" t="s">
        <v>87</v>
      </c>
      <c r="F147" t="s">
        <v>521</v>
      </c>
      <c r="G147" t="s">
        <v>522</v>
      </c>
      <c r="H147" t="s">
        <v>442</v>
      </c>
      <c r="I147" t="s">
        <v>523</v>
      </c>
      <c r="J147">
        <v>2654</v>
      </c>
      <c r="K147" t="s">
        <v>77</v>
      </c>
      <c r="L147">
        <v>507</v>
      </c>
      <c r="M147" t="s">
        <v>21</v>
      </c>
      <c r="N147">
        <v>27</v>
      </c>
      <c r="O147" t="s">
        <v>524</v>
      </c>
    </row>
    <row r="148" spans="2:16" x14ac:dyDescent="0.2">
      <c r="B148" t="s">
        <v>1307</v>
      </c>
      <c r="C148" t="str">
        <f t="shared" si="2"/>
        <v>Helictopleurus_sicardi   -id-269</v>
      </c>
      <c r="E148" t="s">
        <v>87</v>
      </c>
      <c r="F148" t="s">
        <v>1308</v>
      </c>
      <c r="G148" t="s">
        <v>1309</v>
      </c>
      <c r="H148" t="s">
        <v>442</v>
      </c>
      <c r="I148" t="s">
        <v>1310</v>
      </c>
      <c r="J148">
        <v>1589</v>
      </c>
      <c r="K148" t="s">
        <v>77</v>
      </c>
      <c r="L148">
        <v>504</v>
      </c>
      <c r="M148" t="s">
        <v>78</v>
      </c>
      <c r="N148">
        <v>185</v>
      </c>
      <c r="O148" t="s">
        <v>1079</v>
      </c>
    </row>
    <row r="149" spans="2:16" x14ac:dyDescent="0.2">
      <c r="B149" t="s">
        <v>314</v>
      </c>
      <c r="C149" t="str">
        <f t="shared" si="2"/>
        <v>Helictopleurus_sicardi-id-55</v>
      </c>
      <c r="E149" t="s">
        <v>87</v>
      </c>
      <c r="F149" t="s">
        <v>315</v>
      </c>
      <c r="G149" t="s">
        <v>316</v>
      </c>
      <c r="H149" t="s">
        <v>259</v>
      </c>
      <c r="I149" t="s">
        <v>317</v>
      </c>
      <c r="J149">
        <v>2551</v>
      </c>
      <c r="K149" t="s">
        <v>77</v>
      </c>
      <c r="L149" t="s">
        <v>258</v>
      </c>
      <c r="M149" t="s">
        <v>258</v>
      </c>
      <c r="N149" t="s">
        <v>258</v>
      </c>
      <c r="O149" t="s">
        <v>258</v>
      </c>
      <c r="P149" t="s">
        <v>262</v>
      </c>
    </row>
    <row r="150" spans="2:16" x14ac:dyDescent="0.2">
      <c r="B150" t="s">
        <v>318</v>
      </c>
      <c r="C150" t="str">
        <f t="shared" si="2"/>
        <v>Helictopleurus_sicardi-id-56</v>
      </c>
      <c r="E150" t="s">
        <v>87</v>
      </c>
      <c r="F150" t="s">
        <v>315</v>
      </c>
      <c r="G150" t="s">
        <v>319</v>
      </c>
      <c r="H150" t="s">
        <v>259</v>
      </c>
      <c r="I150" t="s">
        <v>320</v>
      </c>
      <c r="J150">
        <v>1166</v>
      </c>
      <c r="K150" t="s">
        <v>77</v>
      </c>
      <c r="L150" t="s">
        <v>258</v>
      </c>
      <c r="M150" t="s">
        <v>258</v>
      </c>
      <c r="N150" t="s">
        <v>258</v>
      </c>
      <c r="O150" t="s">
        <v>258</v>
      </c>
      <c r="P150" t="s">
        <v>262</v>
      </c>
    </row>
    <row r="151" spans="2:16" x14ac:dyDescent="0.2">
      <c r="B151" t="s">
        <v>525</v>
      </c>
      <c r="C151" t="str">
        <f t="shared" si="2"/>
        <v>Helictopleurus_sp   -id-102</v>
      </c>
      <c r="E151" t="s">
        <v>87</v>
      </c>
      <c r="F151" t="s">
        <v>526</v>
      </c>
      <c r="G151" t="s">
        <v>527</v>
      </c>
      <c r="H151" t="s">
        <v>442</v>
      </c>
      <c r="I151" t="s">
        <v>528</v>
      </c>
      <c r="J151">
        <v>2414</v>
      </c>
      <c r="K151" t="s">
        <v>77</v>
      </c>
      <c r="L151">
        <v>507</v>
      </c>
      <c r="M151" t="s">
        <v>21</v>
      </c>
      <c r="N151">
        <v>82</v>
      </c>
      <c r="O151" t="s">
        <v>529</v>
      </c>
    </row>
    <row r="152" spans="2:16" x14ac:dyDescent="0.2">
      <c r="B152" t="s">
        <v>584</v>
      </c>
      <c r="C152" t="str">
        <f t="shared" si="2"/>
        <v>Helictopleurus_sp group semivirens -id-114</v>
      </c>
      <c r="E152" t="s">
        <v>87</v>
      </c>
      <c r="F152" t="s">
        <v>585</v>
      </c>
      <c r="G152" t="s">
        <v>586</v>
      </c>
      <c r="H152" t="s">
        <v>442</v>
      </c>
      <c r="I152" t="s">
        <v>587</v>
      </c>
      <c r="J152">
        <v>2690</v>
      </c>
      <c r="K152" t="s">
        <v>77</v>
      </c>
      <c r="L152">
        <v>507</v>
      </c>
      <c r="M152" t="s">
        <v>21</v>
      </c>
      <c r="N152">
        <v>5</v>
      </c>
      <c r="O152" t="s">
        <v>588</v>
      </c>
    </row>
    <row r="153" spans="2:16" x14ac:dyDescent="0.2">
      <c r="B153" t="s">
        <v>473</v>
      </c>
      <c r="C153" t="str">
        <f t="shared" si="2"/>
        <v>Helictopleurus_splendidicollis   -id-91</v>
      </c>
      <c r="E153" t="s">
        <v>87</v>
      </c>
      <c r="F153" t="s">
        <v>474</v>
      </c>
      <c r="G153" t="s">
        <v>475</v>
      </c>
      <c r="H153" t="s">
        <v>442</v>
      </c>
      <c r="I153" t="s">
        <v>476</v>
      </c>
      <c r="J153">
        <v>2470</v>
      </c>
      <c r="K153" t="s">
        <v>77</v>
      </c>
      <c r="L153">
        <v>540</v>
      </c>
      <c r="M153" t="s">
        <v>78</v>
      </c>
      <c r="N153">
        <v>133</v>
      </c>
      <c r="O153" t="s">
        <v>248</v>
      </c>
    </row>
    <row r="154" spans="2:16" x14ac:dyDescent="0.2">
      <c r="B154" t="s">
        <v>988</v>
      </c>
      <c r="C154" t="str">
        <f t="shared" si="2"/>
        <v>Helictopleurus_steineri   -id-196</v>
      </c>
      <c r="E154" t="s">
        <v>87</v>
      </c>
      <c r="F154" t="s">
        <v>989</v>
      </c>
      <c r="G154" t="s">
        <v>990</v>
      </c>
      <c r="H154" t="s">
        <v>442</v>
      </c>
      <c r="I154" t="s">
        <v>991</v>
      </c>
      <c r="J154">
        <v>2466</v>
      </c>
      <c r="K154" t="s">
        <v>77</v>
      </c>
      <c r="L154">
        <v>501</v>
      </c>
      <c r="M154" t="s">
        <v>48</v>
      </c>
      <c r="N154">
        <v>158</v>
      </c>
      <c r="O154" t="s">
        <v>992</v>
      </c>
    </row>
    <row r="155" spans="2:16" x14ac:dyDescent="0.2">
      <c r="B155" t="s">
        <v>487</v>
      </c>
      <c r="C155" t="str">
        <f t="shared" si="2"/>
        <v>Helictopleurus_unifasciatus   -id-94</v>
      </c>
      <c r="E155" t="s">
        <v>87</v>
      </c>
      <c r="F155" t="s">
        <v>488</v>
      </c>
      <c r="G155" t="s">
        <v>489</v>
      </c>
      <c r="H155" t="s">
        <v>442</v>
      </c>
      <c r="I155" t="s">
        <v>490</v>
      </c>
      <c r="J155">
        <v>2529</v>
      </c>
      <c r="K155" t="s">
        <v>77</v>
      </c>
      <c r="L155">
        <v>540</v>
      </c>
      <c r="M155" t="s">
        <v>78</v>
      </c>
      <c r="N155">
        <v>191</v>
      </c>
      <c r="O155" t="s">
        <v>115</v>
      </c>
    </row>
    <row r="156" spans="2:16" x14ac:dyDescent="0.2">
      <c r="B156" t="s">
        <v>854</v>
      </c>
      <c r="C156" t="str">
        <f t="shared" si="2"/>
        <v>Helictopleurus_vadoni   -id-167</v>
      </c>
      <c r="E156" t="s">
        <v>87</v>
      </c>
      <c r="F156" t="s">
        <v>698</v>
      </c>
      <c r="G156" t="s">
        <v>855</v>
      </c>
      <c r="H156" t="s">
        <v>442</v>
      </c>
      <c r="I156" t="s">
        <v>856</v>
      </c>
      <c r="J156">
        <v>2646</v>
      </c>
      <c r="K156" t="s">
        <v>77</v>
      </c>
      <c r="L156">
        <v>501</v>
      </c>
      <c r="M156" t="s">
        <v>48</v>
      </c>
      <c r="N156">
        <v>107</v>
      </c>
      <c r="O156" t="s">
        <v>857</v>
      </c>
    </row>
    <row r="157" spans="2:16" x14ac:dyDescent="0.2">
      <c r="B157" t="s">
        <v>968</v>
      </c>
      <c r="C157" t="str">
        <f t="shared" si="2"/>
        <v>Helictopleurus_viettei   -id-192</v>
      </c>
      <c r="E157" t="s">
        <v>87</v>
      </c>
      <c r="F157" t="s">
        <v>969</v>
      </c>
      <c r="G157" t="s">
        <v>970</v>
      </c>
      <c r="H157" t="s">
        <v>442</v>
      </c>
      <c r="I157" t="s">
        <v>971</v>
      </c>
      <c r="J157">
        <v>2502</v>
      </c>
      <c r="K157" t="s">
        <v>77</v>
      </c>
      <c r="L157">
        <v>501</v>
      </c>
      <c r="M157" t="s">
        <v>48</v>
      </c>
      <c r="N157">
        <v>148</v>
      </c>
      <c r="O157" t="s">
        <v>972</v>
      </c>
    </row>
    <row r="158" spans="2:16" x14ac:dyDescent="0.2">
      <c r="B158" t="s">
        <v>545</v>
      </c>
      <c r="C158" t="str">
        <f t="shared" si="2"/>
        <v>Helictopleurus_viridans pseudoviridans  -id-106</v>
      </c>
      <c r="E158" t="s">
        <v>87</v>
      </c>
      <c r="F158" t="s">
        <v>546</v>
      </c>
      <c r="G158" t="s">
        <v>547</v>
      </c>
      <c r="H158" t="s">
        <v>442</v>
      </c>
      <c r="I158" t="s">
        <v>548</v>
      </c>
      <c r="J158">
        <v>2743</v>
      </c>
      <c r="K158" t="s">
        <v>77</v>
      </c>
      <c r="L158">
        <v>507</v>
      </c>
      <c r="M158" t="s">
        <v>21</v>
      </c>
      <c r="N158">
        <v>23</v>
      </c>
      <c r="O158" t="s">
        <v>549</v>
      </c>
    </row>
    <row r="159" spans="2:16" x14ac:dyDescent="0.2">
      <c r="B159" t="s">
        <v>610</v>
      </c>
      <c r="C159" t="str">
        <f t="shared" si="2"/>
        <v>Helictopleurus_viridans viridans  -id-119</v>
      </c>
      <c r="E159" t="s">
        <v>87</v>
      </c>
      <c r="F159" t="s">
        <v>611</v>
      </c>
      <c r="G159" t="s">
        <v>612</v>
      </c>
      <c r="H159" t="s">
        <v>442</v>
      </c>
      <c r="I159" t="s">
        <v>613</v>
      </c>
      <c r="J159">
        <v>1712</v>
      </c>
      <c r="K159" t="s">
        <v>77</v>
      </c>
      <c r="L159">
        <v>507</v>
      </c>
      <c r="M159" t="s">
        <v>21</v>
      </c>
      <c r="N159">
        <v>93</v>
      </c>
      <c r="O159" t="s">
        <v>614</v>
      </c>
    </row>
    <row r="160" spans="2:16" x14ac:dyDescent="0.2">
      <c r="B160" t="s">
        <v>803</v>
      </c>
      <c r="C160" t="str">
        <f t="shared" si="2"/>
        <v>Heliocopris_sp   -id-157</v>
      </c>
      <c r="E160" t="s">
        <v>804</v>
      </c>
      <c r="F160" t="s">
        <v>526</v>
      </c>
      <c r="G160" t="s">
        <v>805</v>
      </c>
      <c r="H160" t="s">
        <v>442</v>
      </c>
      <c r="I160" t="s">
        <v>806</v>
      </c>
      <c r="J160">
        <v>1161</v>
      </c>
      <c r="K160" t="s">
        <v>77</v>
      </c>
      <c r="L160">
        <v>507</v>
      </c>
      <c r="M160" t="s">
        <v>21</v>
      </c>
      <c r="N160">
        <v>34</v>
      </c>
      <c r="O160" t="s">
        <v>807</v>
      </c>
    </row>
    <row r="161" spans="2:16" x14ac:dyDescent="0.2">
      <c r="B161" t="s">
        <v>904</v>
      </c>
      <c r="C161" t="str">
        <f t="shared" si="2"/>
        <v>Heliocopris_sp   -id-178</v>
      </c>
      <c r="E161" t="s">
        <v>804</v>
      </c>
      <c r="F161" t="s">
        <v>526</v>
      </c>
      <c r="G161" t="s">
        <v>905</v>
      </c>
      <c r="H161" t="s">
        <v>442</v>
      </c>
      <c r="I161" t="s">
        <v>906</v>
      </c>
      <c r="J161">
        <v>1967</v>
      </c>
      <c r="K161" t="s">
        <v>77</v>
      </c>
      <c r="L161">
        <v>501</v>
      </c>
      <c r="M161" t="s">
        <v>48</v>
      </c>
      <c r="N161">
        <v>129</v>
      </c>
      <c r="O161" t="s">
        <v>313</v>
      </c>
    </row>
    <row r="162" spans="2:16" x14ac:dyDescent="0.2">
      <c r="B162" t="s">
        <v>110</v>
      </c>
      <c r="C162" t="str">
        <f t="shared" si="2"/>
        <v>Heteronitis_ragazzii-id-17</v>
      </c>
      <c r="E162" t="s">
        <v>111</v>
      </c>
      <c r="F162" t="s">
        <v>112</v>
      </c>
      <c r="G162" t="s">
        <v>113</v>
      </c>
      <c r="H162" t="s">
        <v>18</v>
      </c>
      <c r="I162" t="s">
        <v>114</v>
      </c>
      <c r="J162">
        <v>1709</v>
      </c>
      <c r="K162" t="s">
        <v>77</v>
      </c>
      <c r="L162">
        <v>504</v>
      </c>
      <c r="M162" t="s">
        <v>78</v>
      </c>
      <c r="N162">
        <v>191</v>
      </c>
      <c r="O162" t="s">
        <v>115</v>
      </c>
      <c r="P162" t="s">
        <v>23</v>
      </c>
    </row>
    <row r="163" spans="2:16" x14ac:dyDescent="0.2">
      <c r="B163" t="s">
        <v>672</v>
      </c>
      <c r="C163" t="str">
        <f t="shared" si="2"/>
        <v>Hexodon_sp1   -id-131</v>
      </c>
      <c r="E163" t="s">
        <v>673</v>
      </c>
      <c r="F163" t="s">
        <v>455</v>
      </c>
      <c r="G163" t="s">
        <v>674</v>
      </c>
      <c r="H163" t="s">
        <v>442</v>
      </c>
      <c r="I163" t="s">
        <v>675</v>
      </c>
      <c r="J163">
        <v>1105</v>
      </c>
      <c r="K163" t="s">
        <v>77</v>
      </c>
      <c r="L163">
        <v>507</v>
      </c>
      <c r="M163" t="s">
        <v>21</v>
      </c>
      <c r="N163">
        <v>94</v>
      </c>
      <c r="O163" t="s">
        <v>676</v>
      </c>
    </row>
    <row r="164" spans="2:16" x14ac:dyDescent="0.2">
      <c r="B164" t="s">
        <v>763</v>
      </c>
      <c r="C164" t="str">
        <f t="shared" si="2"/>
        <v>Hybosoridae_sp1 Madagascar  -id-149</v>
      </c>
      <c r="E164" t="s">
        <v>764</v>
      </c>
      <c r="F164" t="s">
        <v>765</v>
      </c>
      <c r="G164" t="s">
        <v>766</v>
      </c>
      <c r="H164" t="s">
        <v>442</v>
      </c>
      <c r="I164" t="s">
        <v>767</v>
      </c>
      <c r="J164">
        <v>612</v>
      </c>
      <c r="K164" t="s">
        <v>77</v>
      </c>
      <c r="L164">
        <v>507</v>
      </c>
      <c r="M164" t="s">
        <v>21</v>
      </c>
      <c r="N164">
        <v>37</v>
      </c>
      <c r="O164" t="s">
        <v>762</v>
      </c>
    </row>
    <row r="165" spans="2:16" x14ac:dyDescent="0.2">
      <c r="B165" t="s">
        <v>1075</v>
      </c>
      <c r="C165" t="str">
        <f t="shared" si="2"/>
        <v>Hybosoridae_sp2 Laos  -id-214</v>
      </c>
      <c r="E165" t="s">
        <v>764</v>
      </c>
      <c r="F165" t="s">
        <v>1076</v>
      </c>
      <c r="G165" t="s">
        <v>1077</v>
      </c>
      <c r="H165" t="s">
        <v>442</v>
      </c>
      <c r="I165" t="s">
        <v>1078</v>
      </c>
      <c r="J165">
        <v>194</v>
      </c>
      <c r="K165" t="s">
        <v>77</v>
      </c>
      <c r="L165">
        <v>501</v>
      </c>
      <c r="M165" t="s">
        <v>48</v>
      </c>
      <c r="N165">
        <v>185</v>
      </c>
      <c r="O165" t="s">
        <v>1079</v>
      </c>
    </row>
    <row r="166" spans="2:16" x14ac:dyDescent="0.2">
      <c r="B166" t="s">
        <v>321</v>
      </c>
      <c r="C166" t="str">
        <f t="shared" si="2"/>
        <v>Hybosorus_illigeri-id-57</v>
      </c>
      <c r="E166" t="s">
        <v>322</v>
      </c>
      <c r="F166" t="s">
        <v>323</v>
      </c>
      <c r="G166" t="s">
        <v>324</v>
      </c>
      <c r="H166" t="s">
        <v>259</v>
      </c>
      <c r="I166" t="s">
        <v>325</v>
      </c>
      <c r="J166">
        <v>1102</v>
      </c>
      <c r="K166" t="s">
        <v>77</v>
      </c>
      <c r="L166">
        <v>506</v>
      </c>
      <c r="M166" t="s">
        <v>196</v>
      </c>
      <c r="N166">
        <v>141</v>
      </c>
      <c r="O166" t="s">
        <v>326</v>
      </c>
      <c r="P166" t="s">
        <v>23</v>
      </c>
    </row>
    <row r="167" spans="2:16" x14ac:dyDescent="0.2">
      <c r="B167" t="s">
        <v>327</v>
      </c>
      <c r="C167" t="str">
        <f t="shared" si="2"/>
        <v>Ischiopsophra_sp-id-58</v>
      </c>
      <c r="E167" t="s">
        <v>328</v>
      </c>
      <c r="F167" t="s">
        <v>265</v>
      </c>
      <c r="G167" t="s">
        <v>329</v>
      </c>
      <c r="H167" t="s">
        <v>259</v>
      </c>
      <c r="I167" t="s">
        <v>330</v>
      </c>
      <c r="J167">
        <v>1174</v>
      </c>
      <c r="K167" t="s">
        <v>77</v>
      </c>
      <c r="L167">
        <v>506</v>
      </c>
      <c r="M167" t="s">
        <v>196</v>
      </c>
      <c r="N167">
        <v>157</v>
      </c>
      <c r="O167" t="s">
        <v>109</v>
      </c>
      <c r="P167" t="s">
        <v>23</v>
      </c>
    </row>
    <row r="168" spans="2:16" x14ac:dyDescent="0.2">
      <c r="B168" t="s">
        <v>1148</v>
      </c>
      <c r="C168" t="str">
        <f t="shared" si="2"/>
        <v>Janssensantus_cf inexpectatus  -id-231</v>
      </c>
      <c r="E168" t="s">
        <v>250</v>
      </c>
      <c r="F168" t="s">
        <v>1149</v>
      </c>
      <c r="G168" t="s">
        <v>1150</v>
      </c>
      <c r="H168" t="s">
        <v>442</v>
      </c>
      <c r="I168" t="s">
        <v>1151</v>
      </c>
      <c r="J168">
        <v>2036</v>
      </c>
      <c r="K168" t="s">
        <v>77</v>
      </c>
      <c r="L168">
        <v>1102</v>
      </c>
      <c r="M168" t="s">
        <v>59</v>
      </c>
      <c r="N168">
        <v>67</v>
      </c>
      <c r="O168" t="s">
        <v>594</v>
      </c>
    </row>
    <row r="169" spans="2:16" x14ac:dyDescent="0.2">
      <c r="B169" t="s">
        <v>1489</v>
      </c>
      <c r="C169" t="str">
        <f t="shared" si="2"/>
        <v>Janssensantus_cf inexpectatus  -id-314</v>
      </c>
      <c r="E169" t="s">
        <v>250</v>
      </c>
      <c r="F169" t="s">
        <v>1149</v>
      </c>
      <c r="G169" t="s">
        <v>1490</v>
      </c>
      <c r="H169" t="s">
        <v>442</v>
      </c>
      <c r="I169" t="s">
        <v>1491</v>
      </c>
      <c r="J169">
        <v>1974</v>
      </c>
      <c r="K169" t="s">
        <v>77</v>
      </c>
      <c r="L169">
        <v>505</v>
      </c>
      <c r="M169" t="s">
        <v>121</v>
      </c>
      <c r="N169">
        <v>143</v>
      </c>
      <c r="O169" t="s">
        <v>952</v>
      </c>
    </row>
    <row r="170" spans="2:16" x14ac:dyDescent="0.2">
      <c r="B170" t="s">
        <v>249</v>
      </c>
      <c r="C170" t="str">
        <f t="shared" si="2"/>
        <v>Janssensantus_cf. inexpectatus-id-42</v>
      </c>
      <c r="E170" t="s">
        <v>250</v>
      </c>
      <c r="F170" t="s">
        <v>251</v>
      </c>
      <c r="G170" t="s">
        <v>252</v>
      </c>
      <c r="H170" t="s">
        <v>18</v>
      </c>
      <c r="I170" t="s">
        <v>253</v>
      </c>
      <c r="J170">
        <v>1970</v>
      </c>
      <c r="K170" t="s">
        <v>77</v>
      </c>
      <c r="L170">
        <v>505</v>
      </c>
      <c r="M170" t="s">
        <v>121</v>
      </c>
      <c r="N170">
        <v>142</v>
      </c>
      <c r="O170" t="s">
        <v>254</v>
      </c>
      <c r="P170" t="s">
        <v>23</v>
      </c>
    </row>
    <row r="171" spans="2:16" x14ac:dyDescent="0.2">
      <c r="B171" t="s">
        <v>1043</v>
      </c>
      <c r="C171" t="str">
        <f t="shared" si="2"/>
        <v>Janssensantus_mabuensis n sp -id-207</v>
      </c>
      <c r="E171" t="s">
        <v>250</v>
      </c>
      <c r="F171" t="s">
        <v>1044</v>
      </c>
      <c r="G171" t="s">
        <v>1045</v>
      </c>
      <c r="H171" t="s">
        <v>442</v>
      </c>
      <c r="I171" t="s">
        <v>1046</v>
      </c>
      <c r="J171">
        <v>1335</v>
      </c>
      <c r="K171" t="s">
        <v>77</v>
      </c>
      <c r="L171">
        <v>501</v>
      </c>
      <c r="M171" t="s">
        <v>48</v>
      </c>
      <c r="N171">
        <v>172</v>
      </c>
      <c r="O171" t="s">
        <v>415</v>
      </c>
    </row>
    <row r="172" spans="2:16" x14ac:dyDescent="0.2">
      <c r="B172" t="s">
        <v>72</v>
      </c>
      <c r="C172" t="str">
        <f t="shared" si="2"/>
        <v>Kheper_nigroaeneus-id-11</v>
      </c>
      <c r="E172" t="s">
        <v>73</v>
      </c>
      <c r="F172" t="s">
        <v>74</v>
      </c>
      <c r="G172" t="s">
        <v>75</v>
      </c>
      <c r="H172" t="s">
        <v>18</v>
      </c>
      <c r="I172" t="s">
        <v>76</v>
      </c>
      <c r="J172">
        <v>1864</v>
      </c>
      <c r="K172" t="s">
        <v>77</v>
      </c>
      <c r="L172">
        <v>504</v>
      </c>
      <c r="M172" t="s">
        <v>78</v>
      </c>
      <c r="N172">
        <v>100</v>
      </c>
      <c r="O172" t="s">
        <v>79</v>
      </c>
      <c r="P172" t="s">
        <v>23</v>
      </c>
    </row>
    <row r="173" spans="2:16" x14ac:dyDescent="0.2">
      <c r="B173" t="s">
        <v>1084</v>
      </c>
      <c r="C173" t="str">
        <f t="shared" si="2"/>
        <v>Kurtops_signatus   -id-216</v>
      </c>
      <c r="E173" t="s">
        <v>1085</v>
      </c>
      <c r="F173" t="s">
        <v>1086</v>
      </c>
      <c r="G173" t="s">
        <v>1087</v>
      </c>
      <c r="H173" t="s">
        <v>442</v>
      </c>
      <c r="I173" t="s">
        <v>1088</v>
      </c>
      <c r="J173">
        <v>113</v>
      </c>
      <c r="K173" t="s">
        <v>77</v>
      </c>
      <c r="L173">
        <v>501</v>
      </c>
      <c r="M173" t="s">
        <v>48</v>
      </c>
      <c r="N173">
        <v>190</v>
      </c>
      <c r="O173" t="s">
        <v>191</v>
      </c>
    </row>
    <row r="174" spans="2:16" x14ac:dyDescent="0.2">
      <c r="B174" t="s">
        <v>331</v>
      </c>
      <c r="C174" t="str">
        <f t="shared" si="2"/>
        <v>Lamprima_sp-id-59</v>
      </c>
      <c r="E174" t="s">
        <v>332</v>
      </c>
      <c r="F174" t="s">
        <v>265</v>
      </c>
      <c r="G174" t="s">
        <v>333</v>
      </c>
      <c r="H174" t="s">
        <v>259</v>
      </c>
      <c r="I174" t="s">
        <v>334</v>
      </c>
      <c r="J174">
        <v>1185</v>
      </c>
      <c r="K174" t="s">
        <v>77</v>
      </c>
      <c r="L174">
        <v>505</v>
      </c>
      <c r="M174" t="s">
        <v>121</v>
      </c>
      <c r="N174">
        <v>132</v>
      </c>
      <c r="O174" t="s">
        <v>335</v>
      </c>
      <c r="P174" t="s">
        <v>23</v>
      </c>
    </row>
    <row r="175" spans="2:16" x14ac:dyDescent="0.2">
      <c r="B175" t="s">
        <v>336</v>
      </c>
      <c r="C175" t="str">
        <f t="shared" si="2"/>
        <v>Lepidiota_sp-id-60</v>
      </c>
      <c r="E175" t="s">
        <v>337</v>
      </c>
      <c r="F175" t="s">
        <v>265</v>
      </c>
      <c r="G175" t="s">
        <v>338</v>
      </c>
      <c r="H175" t="s">
        <v>259</v>
      </c>
      <c r="I175" t="s">
        <v>339</v>
      </c>
      <c r="J175">
        <v>1296</v>
      </c>
      <c r="K175" t="s">
        <v>77</v>
      </c>
      <c r="L175">
        <v>504</v>
      </c>
      <c r="M175" t="s">
        <v>78</v>
      </c>
      <c r="N175">
        <v>106</v>
      </c>
      <c r="O175" t="s">
        <v>128</v>
      </c>
      <c r="P175" t="s">
        <v>23</v>
      </c>
    </row>
    <row r="176" spans="2:16" x14ac:dyDescent="0.2">
      <c r="B176" t="s">
        <v>1014</v>
      </c>
      <c r="C176" t="str">
        <f t="shared" si="2"/>
        <v>Liatongus_sp   -id-201</v>
      </c>
      <c r="E176" t="s">
        <v>1015</v>
      </c>
      <c r="F176" t="s">
        <v>526</v>
      </c>
      <c r="G176" t="s">
        <v>1016</v>
      </c>
      <c r="H176" t="s">
        <v>442</v>
      </c>
      <c r="I176" t="s">
        <v>1017</v>
      </c>
      <c r="J176">
        <v>2247</v>
      </c>
      <c r="K176" t="s">
        <v>77</v>
      </c>
      <c r="L176">
        <v>501</v>
      </c>
      <c r="M176" t="s">
        <v>48</v>
      </c>
      <c r="N176">
        <v>166</v>
      </c>
      <c r="O176" t="s">
        <v>1018</v>
      </c>
    </row>
    <row r="177" spans="2:16" x14ac:dyDescent="0.2">
      <c r="B177" t="s">
        <v>340</v>
      </c>
      <c r="C177" t="str">
        <f t="shared" si="2"/>
        <v>Liparochrus_sp-id-61</v>
      </c>
      <c r="E177" t="s">
        <v>341</v>
      </c>
      <c r="F177" t="s">
        <v>265</v>
      </c>
      <c r="G177" t="s">
        <v>342</v>
      </c>
      <c r="H177" t="s">
        <v>259</v>
      </c>
      <c r="I177" t="s">
        <v>343</v>
      </c>
      <c r="J177">
        <v>1359</v>
      </c>
      <c r="K177" t="s">
        <v>77</v>
      </c>
      <c r="L177">
        <v>505</v>
      </c>
      <c r="M177" t="s">
        <v>121</v>
      </c>
      <c r="N177">
        <v>154</v>
      </c>
      <c r="O177" t="s">
        <v>344</v>
      </c>
      <c r="P177" t="s">
        <v>23</v>
      </c>
    </row>
    <row r="178" spans="2:16" x14ac:dyDescent="0.2">
      <c r="B178" t="s">
        <v>186</v>
      </c>
      <c r="C178" t="str">
        <f t="shared" si="2"/>
        <v>Litocopris_muticus-id-30</v>
      </c>
      <c r="E178" t="s">
        <v>187</v>
      </c>
      <c r="F178" t="s">
        <v>188</v>
      </c>
      <c r="G178" t="s">
        <v>189</v>
      </c>
      <c r="H178" t="s">
        <v>18</v>
      </c>
      <c r="I178" t="s">
        <v>190</v>
      </c>
      <c r="J178">
        <v>1737</v>
      </c>
      <c r="K178" t="s">
        <v>77</v>
      </c>
      <c r="L178">
        <v>505</v>
      </c>
      <c r="M178" t="s">
        <v>121</v>
      </c>
      <c r="N178">
        <v>190</v>
      </c>
      <c r="O178" t="s">
        <v>191</v>
      </c>
      <c r="P178" t="s">
        <v>23</v>
      </c>
    </row>
    <row r="179" spans="2:16" x14ac:dyDescent="0.2">
      <c r="B179" t="s">
        <v>345</v>
      </c>
      <c r="C179" t="str">
        <f t="shared" si="2"/>
        <v>Lucanus_capreolus-id-62</v>
      </c>
      <c r="E179" t="s">
        <v>346</v>
      </c>
      <c r="F179" t="s">
        <v>347</v>
      </c>
      <c r="G179" t="s">
        <v>348</v>
      </c>
      <c r="H179" t="s">
        <v>259</v>
      </c>
      <c r="I179" t="s">
        <v>349</v>
      </c>
      <c r="J179">
        <v>1198</v>
      </c>
      <c r="K179" t="s">
        <v>77</v>
      </c>
      <c r="L179">
        <v>505</v>
      </c>
      <c r="M179" t="s">
        <v>121</v>
      </c>
      <c r="N179">
        <v>174</v>
      </c>
      <c r="O179" t="s">
        <v>350</v>
      </c>
      <c r="P179" t="s">
        <v>23</v>
      </c>
    </row>
    <row r="180" spans="2:16" x14ac:dyDescent="0.2">
      <c r="B180" t="s">
        <v>1004</v>
      </c>
      <c r="C180" t="str">
        <f t="shared" si="2"/>
        <v>Macroderes_foveatus   -id-199</v>
      </c>
      <c r="E180" t="s">
        <v>890</v>
      </c>
      <c r="F180" t="s">
        <v>1005</v>
      </c>
      <c r="G180" t="s">
        <v>1006</v>
      </c>
      <c r="H180" t="s">
        <v>442</v>
      </c>
      <c r="I180" t="s">
        <v>1007</v>
      </c>
      <c r="J180">
        <v>1986</v>
      </c>
      <c r="K180" t="s">
        <v>77</v>
      </c>
      <c r="L180">
        <v>501</v>
      </c>
      <c r="M180" t="s">
        <v>48</v>
      </c>
      <c r="N180">
        <v>164</v>
      </c>
      <c r="O180" t="s">
        <v>1008</v>
      </c>
    </row>
    <row r="181" spans="2:16" x14ac:dyDescent="0.2">
      <c r="B181" t="s">
        <v>889</v>
      </c>
      <c r="C181" t="str">
        <f t="shared" si="2"/>
        <v>Macroderes_sp1   -id-175</v>
      </c>
      <c r="E181" t="s">
        <v>890</v>
      </c>
      <c r="F181" t="s">
        <v>455</v>
      </c>
      <c r="G181" t="s">
        <v>891</v>
      </c>
      <c r="H181" t="s">
        <v>442</v>
      </c>
      <c r="I181" t="s">
        <v>892</v>
      </c>
      <c r="J181">
        <v>2087</v>
      </c>
      <c r="K181" t="s">
        <v>77</v>
      </c>
      <c r="L181">
        <v>501</v>
      </c>
      <c r="M181" t="s">
        <v>48</v>
      </c>
      <c r="N181">
        <v>122</v>
      </c>
      <c r="O181" t="s">
        <v>152</v>
      </c>
    </row>
    <row r="182" spans="2:16" x14ac:dyDescent="0.2">
      <c r="B182" t="s">
        <v>957</v>
      </c>
      <c r="C182" t="str">
        <f t="shared" si="2"/>
        <v>Macronthophagus_diabolicus   -id-190</v>
      </c>
      <c r="E182" t="s">
        <v>958</v>
      </c>
      <c r="F182" t="s">
        <v>959</v>
      </c>
      <c r="G182" t="s">
        <v>960</v>
      </c>
      <c r="H182" t="s">
        <v>442</v>
      </c>
      <c r="I182" t="s">
        <v>961</v>
      </c>
      <c r="J182">
        <v>1467</v>
      </c>
      <c r="K182" t="s">
        <v>77</v>
      </c>
      <c r="L182">
        <v>501</v>
      </c>
      <c r="M182" t="s">
        <v>48</v>
      </c>
      <c r="N182">
        <v>146</v>
      </c>
      <c r="O182" t="s">
        <v>962</v>
      </c>
    </row>
    <row r="183" spans="2:16" x14ac:dyDescent="0.2">
      <c r="B183" t="s">
        <v>351</v>
      </c>
      <c r="C183" t="str">
        <f t="shared" si="2"/>
        <v>Marronus_borbonicus-id-63</v>
      </c>
      <c r="E183" t="s">
        <v>352</v>
      </c>
      <c r="F183" t="s">
        <v>353</v>
      </c>
      <c r="G183" t="s">
        <v>258</v>
      </c>
      <c r="H183" t="s">
        <v>259</v>
      </c>
      <c r="I183" t="s">
        <v>354</v>
      </c>
      <c r="J183">
        <v>155</v>
      </c>
      <c r="K183" t="s">
        <v>261</v>
      </c>
      <c r="L183" t="s">
        <v>258</v>
      </c>
      <c r="M183" t="s">
        <v>258</v>
      </c>
      <c r="N183" t="s">
        <v>258</v>
      </c>
      <c r="O183" t="s">
        <v>258</v>
      </c>
      <c r="P183" t="s">
        <v>262</v>
      </c>
    </row>
    <row r="184" spans="2:16" x14ac:dyDescent="0.2">
      <c r="B184" t="s">
        <v>1268</v>
      </c>
      <c r="C184" t="str">
        <f t="shared" si="2"/>
        <v>Megalonitis_bohemani   -id-260</v>
      </c>
      <c r="E184" t="s">
        <v>1269</v>
      </c>
      <c r="F184" t="s">
        <v>1270</v>
      </c>
      <c r="G184" t="s">
        <v>1271</v>
      </c>
      <c r="H184" t="s">
        <v>442</v>
      </c>
      <c r="I184" t="s">
        <v>1272</v>
      </c>
      <c r="J184">
        <v>2177</v>
      </c>
      <c r="K184" t="s">
        <v>77</v>
      </c>
      <c r="L184">
        <v>1102</v>
      </c>
      <c r="M184" t="s">
        <v>59</v>
      </c>
      <c r="N184">
        <v>18</v>
      </c>
      <c r="O184" t="s">
        <v>1273</v>
      </c>
    </row>
    <row r="185" spans="2:16" x14ac:dyDescent="0.2">
      <c r="B185" t="s">
        <v>153</v>
      </c>
      <c r="C185" t="str">
        <f t="shared" si="2"/>
        <v>Metacatharsius_opacus-id-24</v>
      </c>
      <c r="E185" t="s">
        <v>154</v>
      </c>
      <c r="F185" t="s">
        <v>155</v>
      </c>
      <c r="G185" t="s">
        <v>156</v>
      </c>
      <c r="H185" t="s">
        <v>18</v>
      </c>
      <c r="I185" t="s">
        <v>157</v>
      </c>
      <c r="J185">
        <v>1596</v>
      </c>
      <c r="K185" t="s">
        <v>77</v>
      </c>
      <c r="L185">
        <v>505</v>
      </c>
      <c r="M185" t="s">
        <v>121</v>
      </c>
      <c r="N185">
        <v>128</v>
      </c>
      <c r="O185" t="s">
        <v>54</v>
      </c>
      <c r="P185" t="s">
        <v>23</v>
      </c>
    </row>
    <row r="186" spans="2:16" x14ac:dyDescent="0.2">
      <c r="B186" t="s">
        <v>454</v>
      </c>
      <c r="C186" t="str">
        <f t="shared" si="2"/>
        <v>Metacatharsius_sp1   -id-87</v>
      </c>
      <c r="E186" t="s">
        <v>154</v>
      </c>
      <c r="F186" t="s">
        <v>455</v>
      </c>
      <c r="G186" t="s">
        <v>456</v>
      </c>
      <c r="H186" t="s">
        <v>442</v>
      </c>
      <c r="I186" t="s">
        <v>457</v>
      </c>
      <c r="J186">
        <v>1962</v>
      </c>
      <c r="K186" t="s">
        <v>77</v>
      </c>
      <c r="L186">
        <v>504</v>
      </c>
      <c r="M186" t="s">
        <v>78</v>
      </c>
      <c r="N186">
        <v>41</v>
      </c>
      <c r="O186" t="s">
        <v>71</v>
      </c>
    </row>
    <row r="187" spans="2:16" x14ac:dyDescent="0.2">
      <c r="B187" t="s">
        <v>197</v>
      </c>
      <c r="C187" t="str">
        <f t="shared" si="2"/>
        <v>Microcopris_sp1-id-32</v>
      </c>
      <c r="E187" t="s">
        <v>198</v>
      </c>
      <c r="F187" t="s">
        <v>199</v>
      </c>
      <c r="G187" t="s">
        <v>200</v>
      </c>
      <c r="H187" t="s">
        <v>18</v>
      </c>
      <c r="I187" t="s">
        <v>201</v>
      </c>
      <c r="J187">
        <v>1965</v>
      </c>
      <c r="K187" t="s">
        <v>77</v>
      </c>
      <c r="L187">
        <v>506</v>
      </c>
      <c r="M187" t="s">
        <v>196</v>
      </c>
      <c r="N187">
        <v>168</v>
      </c>
      <c r="O187" t="s">
        <v>202</v>
      </c>
      <c r="P187" t="s">
        <v>23</v>
      </c>
    </row>
    <row r="188" spans="2:16" x14ac:dyDescent="0.2">
      <c r="B188" t="s">
        <v>1247</v>
      </c>
      <c r="C188" t="str">
        <f t="shared" si="2"/>
        <v>Nanos_aff Bicoloratus  -id-255</v>
      </c>
      <c r="E188" t="s">
        <v>148</v>
      </c>
      <c r="F188" t="s">
        <v>1248</v>
      </c>
      <c r="G188" t="s">
        <v>1249</v>
      </c>
      <c r="H188" t="s">
        <v>442</v>
      </c>
      <c r="I188" t="s">
        <v>1250</v>
      </c>
      <c r="J188">
        <v>2162</v>
      </c>
      <c r="K188" t="s">
        <v>77</v>
      </c>
      <c r="L188">
        <v>1102</v>
      </c>
      <c r="M188" t="s">
        <v>59</v>
      </c>
      <c r="N188">
        <v>26</v>
      </c>
      <c r="O188" t="s">
        <v>1251</v>
      </c>
    </row>
    <row r="189" spans="2:16" x14ac:dyDescent="0.2">
      <c r="B189" t="s">
        <v>1009</v>
      </c>
      <c r="C189" t="str">
        <f t="shared" si="2"/>
        <v>Nanos_aff humeralis  -id-200</v>
      </c>
      <c r="E189" t="s">
        <v>148</v>
      </c>
      <c r="F189" t="s">
        <v>1010</v>
      </c>
      <c r="G189" t="s">
        <v>1011</v>
      </c>
      <c r="H189" t="s">
        <v>442</v>
      </c>
      <c r="I189" t="s">
        <v>1012</v>
      </c>
      <c r="J189">
        <v>2012</v>
      </c>
      <c r="K189" t="s">
        <v>77</v>
      </c>
      <c r="L189">
        <v>501</v>
      </c>
      <c r="M189" t="s">
        <v>48</v>
      </c>
      <c r="N189">
        <v>165</v>
      </c>
      <c r="O189" t="s">
        <v>1013</v>
      </c>
    </row>
    <row r="190" spans="2:16" x14ac:dyDescent="0.2">
      <c r="B190" t="s">
        <v>814</v>
      </c>
      <c r="C190" t="str">
        <f t="shared" si="2"/>
        <v>Nanos_aff mirjae  -id-159</v>
      </c>
      <c r="E190" t="s">
        <v>148</v>
      </c>
      <c r="F190" t="s">
        <v>815</v>
      </c>
      <c r="G190" t="s">
        <v>816</v>
      </c>
      <c r="H190" t="s">
        <v>442</v>
      </c>
      <c r="I190" t="s">
        <v>817</v>
      </c>
      <c r="J190">
        <v>2053</v>
      </c>
      <c r="K190" t="s">
        <v>77</v>
      </c>
      <c r="L190">
        <v>507</v>
      </c>
      <c r="M190" t="s">
        <v>21</v>
      </c>
      <c r="N190">
        <v>56</v>
      </c>
      <c r="O190" t="s">
        <v>818</v>
      </c>
    </row>
    <row r="191" spans="2:16" x14ac:dyDescent="0.2">
      <c r="B191" t="s">
        <v>1121</v>
      </c>
      <c r="C191" t="str">
        <f t="shared" si="2"/>
        <v>Nanos_aff Pseudominutus  -id-225</v>
      </c>
      <c r="E191" t="s">
        <v>148</v>
      </c>
      <c r="F191" t="s">
        <v>1122</v>
      </c>
      <c r="G191" t="s">
        <v>1123</v>
      </c>
      <c r="H191" t="s">
        <v>442</v>
      </c>
      <c r="I191" t="s">
        <v>1124</v>
      </c>
      <c r="J191">
        <v>2243</v>
      </c>
      <c r="K191" t="s">
        <v>77</v>
      </c>
      <c r="L191">
        <v>1102</v>
      </c>
      <c r="M191" t="s">
        <v>59</v>
      </c>
      <c r="N191">
        <v>6</v>
      </c>
      <c r="O191" t="s">
        <v>60</v>
      </c>
    </row>
    <row r="192" spans="2:16" x14ac:dyDescent="0.2">
      <c r="B192" t="s">
        <v>793</v>
      </c>
      <c r="C192" t="str">
        <f t="shared" si="2"/>
        <v>Nanos_aff rubrosignatus  -id-155</v>
      </c>
      <c r="E192" t="s">
        <v>148</v>
      </c>
      <c r="F192" t="s">
        <v>794</v>
      </c>
      <c r="G192" t="s">
        <v>795</v>
      </c>
      <c r="H192" t="s">
        <v>442</v>
      </c>
      <c r="I192" t="s">
        <v>796</v>
      </c>
      <c r="J192">
        <v>1662</v>
      </c>
      <c r="K192" t="s">
        <v>77</v>
      </c>
      <c r="L192">
        <v>507</v>
      </c>
      <c r="M192" t="s">
        <v>21</v>
      </c>
      <c r="N192">
        <v>15</v>
      </c>
      <c r="O192" t="s">
        <v>797</v>
      </c>
    </row>
    <row r="193" spans="2:16" x14ac:dyDescent="0.2">
      <c r="B193" t="s">
        <v>944</v>
      </c>
      <c r="C193" t="str">
        <f t="shared" si="2"/>
        <v>Nanos_aff viridissimus  -id-187</v>
      </c>
      <c r="E193" t="s">
        <v>148</v>
      </c>
      <c r="F193" t="s">
        <v>945</v>
      </c>
      <c r="G193" t="s">
        <v>946</v>
      </c>
      <c r="H193" t="s">
        <v>442</v>
      </c>
      <c r="I193" t="s">
        <v>947</v>
      </c>
      <c r="J193">
        <v>2089</v>
      </c>
      <c r="K193" t="s">
        <v>77</v>
      </c>
      <c r="L193">
        <v>501</v>
      </c>
      <c r="M193" t="s">
        <v>48</v>
      </c>
      <c r="N193">
        <v>142</v>
      </c>
      <c r="O193" t="s">
        <v>254</v>
      </c>
    </row>
    <row r="194" spans="2:16" x14ac:dyDescent="0.2">
      <c r="B194" t="s">
        <v>355</v>
      </c>
      <c r="C194" t="str">
        <f t="shared" ref="C194:C257" si="3">CONCATENATE(E194,"_",F194, "-", B194)</f>
        <v>Nanos_aff-id-64</v>
      </c>
      <c r="E194" t="s">
        <v>148</v>
      </c>
      <c r="F194" t="s">
        <v>356</v>
      </c>
      <c r="G194" t="s">
        <v>357</v>
      </c>
      <c r="H194" t="s">
        <v>259</v>
      </c>
      <c r="I194" t="s">
        <v>358</v>
      </c>
      <c r="J194">
        <v>450</v>
      </c>
      <c r="K194" t="s">
        <v>261</v>
      </c>
      <c r="L194" t="s">
        <v>258</v>
      </c>
      <c r="M194" t="s">
        <v>258</v>
      </c>
      <c r="N194" t="s">
        <v>258</v>
      </c>
      <c r="O194" t="s">
        <v>258</v>
      </c>
      <c r="P194" t="s">
        <v>262</v>
      </c>
    </row>
    <row r="195" spans="2:16" x14ac:dyDescent="0.2">
      <c r="B195" t="s">
        <v>907</v>
      </c>
      <c r="C195" t="str">
        <f t="shared" si="3"/>
        <v>Nanos_bicoloratus   -id-179</v>
      </c>
      <c r="E195" t="s">
        <v>148</v>
      </c>
      <c r="F195" t="s">
        <v>908</v>
      </c>
      <c r="G195" t="s">
        <v>909</v>
      </c>
      <c r="H195" t="s">
        <v>442</v>
      </c>
      <c r="I195" t="s">
        <v>910</v>
      </c>
      <c r="J195">
        <v>2066</v>
      </c>
      <c r="K195" t="s">
        <v>77</v>
      </c>
      <c r="L195">
        <v>501</v>
      </c>
      <c r="M195" t="s">
        <v>48</v>
      </c>
      <c r="N195">
        <v>130</v>
      </c>
      <c r="O195" t="s">
        <v>911</v>
      </c>
    </row>
    <row r="196" spans="2:16" x14ac:dyDescent="0.2">
      <c r="B196" t="s">
        <v>147</v>
      </c>
      <c r="C196" t="str">
        <f t="shared" si="3"/>
        <v>Nanos_dubitatus-id-23</v>
      </c>
      <c r="E196" t="s">
        <v>148</v>
      </c>
      <c r="F196" t="s">
        <v>149</v>
      </c>
      <c r="G196" t="s">
        <v>150</v>
      </c>
      <c r="H196" t="s">
        <v>18</v>
      </c>
      <c r="I196" t="s">
        <v>151</v>
      </c>
      <c r="J196">
        <v>1822</v>
      </c>
      <c r="K196" t="s">
        <v>77</v>
      </c>
      <c r="L196">
        <v>505</v>
      </c>
      <c r="M196" t="s">
        <v>121</v>
      </c>
      <c r="N196">
        <v>122</v>
      </c>
      <c r="O196" t="s">
        <v>152</v>
      </c>
      <c r="P196" t="s">
        <v>23</v>
      </c>
    </row>
    <row r="197" spans="2:16" x14ac:dyDescent="0.2">
      <c r="B197" t="s">
        <v>1435</v>
      </c>
      <c r="C197" t="str">
        <f t="shared" si="3"/>
        <v>Nanos_morpho 2  -id-300</v>
      </c>
      <c r="E197" t="s">
        <v>148</v>
      </c>
      <c r="F197" t="s">
        <v>1436</v>
      </c>
      <c r="G197" t="s">
        <v>1437</v>
      </c>
      <c r="H197" t="s">
        <v>442</v>
      </c>
      <c r="I197" t="s">
        <v>1438</v>
      </c>
      <c r="J197">
        <v>2158</v>
      </c>
      <c r="K197" t="s">
        <v>77</v>
      </c>
      <c r="L197">
        <v>505</v>
      </c>
      <c r="M197" t="s">
        <v>121</v>
      </c>
      <c r="N197">
        <v>125</v>
      </c>
      <c r="O197" t="s">
        <v>472</v>
      </c>
    </row>
    <row r="198" spans="2:16" x14ac:dyDescent="0.2">
      <c r="B198" t="s">
        <v>1428</v>
      </c>
      <c r="C198" t="str">
        <f t="shared" si="3"/>
        <v>Nanos_sp   -id-298</v>
      </c>
      <c r="E198" t="s">
        <v>148</v>
      </c>
      <c r="F198" t="s">
        <v>526</v>
      </c>
      <c r="G198" t="s">
        <v>1429</v>
      </c>
      <c r="H198" t="s">
        <v>442</v>
      </c>
      <c r="I198" t="s">
        <v>1430</v>
      </c>
      <c r="J198">
        <v>2104</v>
      </c>
      <c r="K198" t="s">
        <v>77</v>
      </c>
      <c r="L198">
        <v>505</v>
      </c>
      <c r="M198" t="s">
        <v>121</v>
      </c>
      <c r="N198">
        <v>123</v>
      </c>
      <c r="O198" t="s">
        <v>898</v>
      </c>
    </row>
    <row r="199" spans="2:16" x14ac:dyDescent="0.2">
      <c r="B199" t="s">
        <v>1089</v>
      </c>
      <c r="C199" t="str">
        <f t="shared" si="3"/>
        <v>Nanos_sp1   -id-217</v>
      </c>
      <c r="E199" t="s">
        <v>148</v>
      </c>
      <c r="F199" t="s">
        <v>455</v>
      </c>
      <c r="G199" t="s">
        <v>1090</v>
      </c>
      <c r="H199" t="s">
        <v>442</v>
      </c>
      <c r="I199" t="s">
        <v>1091</v>
      </c>
      <c r="J199">
        <v>1122</v>
      </c>
      <c r="K199" t="s">
        <v>77</v>
      </c>
      <c r="L199">
        <v>501</v>
      </c>
      <c r="M199" t="s">
        <v>48</v>
      </c>
      <c r="N199">
        <v>191</v>
      </c>
      <c r="O199" t="s">
        <v>191</v>
      </c>
    </row>
    <row r="200" spans="2:16" x14ac:dyDescent="0.2">
      <c r="B200" t="s">
        <v>732</v>
      </c>
      <c r="C200" t="str">
        <f t="shared" si="3"/>
        <v>Nanos_sp10   -id-143</v>
      </c>
      <c r="E200" t="s">
        <v>148</v>
      </c>
      <c r="F200" t="s">
        <v>733</v>
      </c>
      <c r="G200" t="s">
        <v>734</v>
      </c>
      <c r="H200" t="s">
        <v>442</v>
      </c>
      <c r="I200" t="s">
        <v>735</v>
      </c>
      <c r="J200">
        <v>1999</v>
      </c>
      <c r="K200" t="s">
        <v>77</v>
      </c>
      <c r="L200">
        <v>507</v>
      </c>
      <c r="M200" t="s">
        <v>21</v>
      </c>
      <c r="N200">
        <v>84</v>
      </c>
      <c r="O200" t="s">
        <v>736</v>
      </c>
    </row>
    <row r="201" spans="2:16" x14ac:dyDescent="0.2">
      <c r="B201" t="s">
        <v>872</v>
      </c>
      <c r="C201" t="str">
        <f t="shared" si="3"/>
        <v>Nanos_sp11   -id-171</v>
      </c>
      <c r="E201" t="s">
        <v>148</v>
      </c>
      <c r="F201" t="s">
        <v>873</v>
      </c>
      <c r="G201" t="s">
        <v>874</v>
      </c>
      <c r="H201" t="s">
        <v>442</v>
      </c>
      <c r="I201" t="s">
        <v>875</v>
      </c>
      <c r="J201">
        <v>2081</v>
      </c>
      <c r="K201" t="s">
        <v>77</v>
      </c>
      <c r="L201">
        <v>501</v>
      </c>
      <c r="M201" t="s">
        <v>48</v>
      </c>
      <c r="N201">
        <v>115</v>
      </c>
      <c r="O201" t="s">
        <v>876</v>
      </c>
    </row>
    <row r="202" spans="2:16" x14ac:dyDescent="0.2">
      <c r="B202" t="s">
        <v>1181</v>
      </c>
      <c r="C202" t="str">
        <f t="shared" si="3"/>
        <v>Nanos_sp2   -id-240</v>
      </c>
      <c r="E202" t="s">
        <v>148</v>
      </c>
      <c r="F202" t="s">
        <v>478</v>
      </c>
      <c r="G202" t="s">
        <v>1182</v>
      </c>
      <c r="H202" t="s">
        <v>442</v>
      </c>
      <c r="I202" t="s">
        <v>1183</v>
      </c>
      <c r="J202">
        <v>2219</v>
      </c>
      <c r="K202" t="s">
        <v>77</v>
      </c>
      <c r="L202">
        <v>1102</v>
      </c>
      <c r="M202" t="s">
        <v>59</v>
      </c>
      <c r="N202">
        <v>50</v>
      </c>
      <c r="O202" t="s">
        <v>1184</v>
      </c>
    </row>
    <row r="203" spans="2:16" x14ac:dyDescent="0.2">
      <c r="B203" t="s">
        <v>1028</v>
      </c>
      <c r="C203" t="str">
        <f t="shared" si="3"/>
        <v>Nanos_sp4   -id-204</v>
      </c>
      <c r="E203" t="s">
        <v>148</v>
      </c>
      <c r="F203" t="s">
        <v>1029</v>
      </c>
      <c r="G203" t="s">
        <v>1030</v>
      </c>
      <c r="H203" t="s">
        <v>442</v>
      </c>
      <c r="I203" t="s">
        <v>1031</v>
      </c>
      <c r="J203">
        <v>2058</v>
      </c>
      <c r="K203" t="s">
        <v>77</v>
      </c>
      <c r="L203">
        <v>501</v>
      </c>
      <c r="M203" t="s">
        <v>48</v>
      </c>
      <c r="N203">
        <v>169</v>
      </c>
      <c r="O203" t="s">
        <v>1032</v>
      </c>
    </row>
    <row r="204" spans="2:16" x14ac:dyDescent="0.2">
      <c r="B204" t="s">
        <v>912</v>
      </c>
      <c r="C204" t="str">
        <f t="shared" si="3"/>
        <v>Nanos_sp5   -id-180</v>
      </c>
      <c r="E204" t="s">
        <v>148</v>
      </c>
      <c r="F204" t="s">
        <v>769</v>
      </c>
      <c r="G204" t="s">
        <v>913</v>
      </c>
      <c r="H204" t="s">
        <v>442</v>
      </c>
      <c r="I204" t="s">
        <v>914</v>
      </c>
      <c r="J204">
        <v>2079</v>
      </c>
      <c r="K204" t="s">
        <v>77</v>
      </c>
      <c r="L204">
        <v>501</v>
      </c>
      <c r="M204" t="s">
        <v>48</v>
      </c>
      <c r="N204">
        <v>131</v>
      </c>
      <c r="O204" t="s">
        <v>299</v>
      </c>
    </row>
    <row r="205" spans="2:16" x14ac:dyDescent="0.2">
      <c r="B205" t="s">
        <v>1315</v>
      </c>
      <c r="C205" t="str">
        <f t="shared" si="3"/>
        <v>Nanos_sp6   -id-271</v>
      </c>
      <c r="E205" t="s">
        <v>148</v>
      </c>
      <c r="F205" t="s">
        <v>633</v>
      </c>
      <c r="G205" t="s">
        <v>1316</v>
      </c>
      <c r="H205" t="s">
        <v>442</v>
      </c>
      <c r="I205" t="s">
        <v>1317</v>
      </c>
      <c r="J205">
        <v>1394</v>
      </c>
      <c r="K205" t="s">
        <v>77</v>
      </c>
      <c r="L205">
        <v>505</v>
      </c>
      <c r="M205" t="s">
        <v>121</v>
      </c>
      <c r="N205">
        <v>172</v>
      </c>
      <c r="O205" t="s">
        <v>415</v>
      </c>
    </row>
    <row r="206" spans="2:16" x14ac:dyDescent="0.2">
      <c r="B206" t="s">
        <v>502</v>
      </c>
      <c r="C206" t="str">
        <f t="shared" si="3"/>
        <v>Nanos_sp7   -id-97</v>
      </c>
      <c r="E206" t="s">
        <v>148</v>
      </c>
      <c r="F206" t="s">
        <v>503</v>
      </c>
      <c r="G206" t="s">
        <v>504</v>
      </c>
      <c r="H206" t="s">
        <v>442</v>
      </c>
      <c r="I206" t="s">
        <v>505</v>
      </c>
      <c r="J206">
        <v>1717</v>
      </c>
      <c r="K206" t="s">
        <v>77</v>
      </c>
      <c r="L206">
        <v>1098</v>
      </c>
      <c r="M206" t="s">
        <v>495</v>
      </c>
      <c r="N206">
        <v>45</v>
      </c>
      <c r="O206" t="s">
        <v>506</v>
      </c>
    </row>
    <row r="207" spans="2:16" x14ac:dyDescent="0.2">
      <c r="B207" t="s">
        <v>940</v>
      </c>
      <c r="C207" t="str">
        <f t="shared" si="3"/>
        <v>Nanos_sp8   -id-186</v>
      </c>
      <c r="E207" t="s">
        <v>148</v>
      </c>
      <c r="F207" t="s">
        <v>941</v>
      </c>
      <c r="G207" t="s">
        <v>942</v>
      </c>
      <c r="H207" t="s">
        <v>442</v>
      </c>
      <c r="I207" t="s">
        <v>943</v>
      </c>
      <c r="J207">
        <v>2052</v>
      </c>
      <c r="K207" t="s">
        <v>77</v>
      </c>
      <c r="L207">
        <v>501</v>
      </c>
      <c r="M207" t="s">
        <v>48</v>
      </c>
      <c r="N207">
        <v>141</v>
      </c>
      <c r="O207" t="s">
        <v>326</v>
      </c>
    </row>
    <row r="208" spans="2:16" x14ac:dyDescent="0.2">
      <c r="B208" t="s">
        <v>1339</v>
      </c>
      <c r="C208" t="str">
        <f t="shared" si="3"/>
        <v>Nanos_sp9   -id-277</v>
      </c>
      <c r="E208" t="s">
        <v>148</v>
      </c>
      <c r="F208" t="s">
        <v>1340</v>
      </c>
      <c r="G208" t="s">
        <v>1341</v>
      </c>
      <c r="H208" t="s">
        <v>442</v>
      </c>
      <c r="I208" t="s">
        <v>1342</v>
      </c>
      <c r="J208">
        <v>1890</v>
      </c>
      <c r="K208" t="s">
        <v>77</v>
      </c>
      <c r="L208">
        <v>506</v>
      </c>
      <c r="M208" t="s">
        <v>196</v>
      </c>
      <c r="N208">
        <v>175</v>
      </c>
      <c r="O208" t="s">
        <v>173</v>
      </c>
    </row>
    <row r="209" spans="2:16" x14ac:dyDescent="0.2">
      <c r="B209" t="s">
        <v>359</v>
      </c>
      <c r="C209" t="str">
        <f t="shared" si="3"/>
        <v>Nanos_vadoni-id-65</v>
      </c>
      <c r="E209" t="s">
        <v>148</v>
      </c>
      <c r="F209" t="s">
        <v>360</v>
      </c>
      <c r="G209" t="s">
        <v>361</v>
      </c>
      <c r="H209" t="s">
        <v>259</v>
      </c>
      <c r="I209" t="s">
        <v>362</v>
      </c>
      <c r="J209">
        <v>601</v>
      </c>
      <c r="K209" t="s">
        <v>261</v>
      </c>
      <c r="L209" t="s">
        <v>258</v>
      </c>
      <c r="M209" t="s">
        <v>258</v>
      </c>
      <c r="N209" t="s">
        <v>258</v>
      </c>
      <c r="O209" t="s">
        <v>258</v>
      </c>
      <c r="P209" t="s">
        <v>262</v>
      </c>
    </row>
    <row r="210" spans="2:16" x14ac:dyDescent="0.2">
      <c r="B210" t="s">
        <v>66</v>
      </c>
      <c r="C210" t="str">
        <f t="shared" si="3"/>
        <v>Nesosisyphus _rotundatus-id-10</v>
      </c>
      <c r="E210" t="s">
        <v>67</v>
      </c>
      <c r="F210" t="s">
        <v>68</v>
      </c>
      <c r="G210" t="s">
        <v>69</v>
      </c>
      <c r="H210" t="s">
        <v>18</v>
      </c>
      <c r="I210" t="s">
        <v>70</v>
      </c>
      <c r="J210">
        <v>1528</v>
      </c>
      <c r="K210" t="s">
        <v>20</v>
      </c>
      <c r="L210">
        <v>1102</v>
      </c>
      <c r="M210" t="s">
        <v>59</v>
      </c>
      <c r="N210">
        <v>41</v>
      </c>
      <c r="O210" t="s">
        <v>71</v>
      </c>
      <c r="P210" t="s">
        <v>23</v>
      </c>
    </row>
    <row r="211" spans="2:16" x14ac:dyDescent="0.2">
      <c r="B211" t="s">
        <v>1352</v>
      </c>
      <c r="C211" t="str">
        <f t="shared" si="3"/>
        <v>Nesosisyphus_pygmaeus   -id-280</v>
      </c>
      <c r="E211" t="s">
        <v>1344</v>
      </c>
      <c r="F211" t="s">
        <v>1353</v>
      </c>
      <c r="G211" t="s">
        <v>1354</v>
      </c>
      <c r="H211" t="s">
        <v>442</v>
      </c>
      <c r="I211" t="s">
        <v>1355</v>
      </c>
      <c r="J211">
        <v>1676</v>
      </c>
      <c r="K211" t="s">
        <v>77</v>
      </c>
      <c r="L211">
        <v>505</v>
      </c>
      <c r="M211" t="s">
        <v>121</v>
      </c>
      <c r="N211">
        <v>99</v>
      </c>
      <c r="O211" t="s">
        <v>828</v>
      </c>
    </row>
    <row r="212" spans="2:16" x14ac:dyDescent="0.2">
      <c r="B212" t="s">
        <v>1348</v>
      </c>
      <c r="C212" t="str">
        <f t="shared" si="3"/>
        <v>Nesosisyphus_regnardi   -id-279</v>
      </c>
      <c r="E212" t="s">
        <v>1344</v>
      </c>
      <c r="F212" t="s">
        <v>1349</v>
      </c>
      <c r="G212" t="s">
        <v>1350</v>
      </c>
      <c r="H212" t="s">
        <v>442</v>
      </c>
      <c r="I212" t="s">
        <v>1351</v>
      </c>
      <c r="J212">
        <v>1676</v>
      </c>
      <c r="K212" t="s">
        <v>77</v>
      </c>
      <c r="L212">
        <v>505</v>
      </c>
      <c r="M212" t="s">
        <v>121</v>
      </c>
      <c r="N212">
        <v>98</v>
      </c>
      <c r="O212" t="s">
        <v>122</v>
      </c>
    </row>
    <row r="213" spans="2:16" x14ac:dyDescent="0.2">
      <c r="B213" t="s">
        <v>1343</v>
      </c>
      <c r="C213" t="str">
        <f t="shared" si="3"/>
        <v>Nesosisyphus_vicinus   -id-278</v>
      </c>
      <c r="E213" t="s">
        <v>1344</v>
      </c>
      <c r="F213" t="s">
        <v>1345</v>
      </c>
      <c r="G213" t="s">
        <v>1346</v>
      </c>
      <c r="H213" t="s">
        <v>442</v>
      </c>
      <c r="I213" t="s">
        <v>1347</v>
      </c>
      <c r="J213">
        <v>1663</v>
      </c>
      <c r="K213" t="s">
        <v>77</v>
      </c>
      <c r="L213">
        <v>505</v>
      </c>
      <c r="M213" t="s">
        <v>121</v>
      </c>
      <c r="N213">
        <v>97</v>
      </c>
      <c r="O213" t="s">
        <v>823</v>
      </c>
    </row>
    <row r="214" spans="2:16" x14ac:dyDescent="0.2">
      <c r="B214" t="s">
        <v>1419</v>
      </c>
      <c r="C214" t="str">
        <f t="shared" si="3"/>
        <v>Nesovinsionia_vinsoni   -id-296</v>
      </c>
      <c r="E214" t="s">
        <v>1420</v>
      </c>
      <c r="F214" t="s">
        <v>1421</v>
      </c>
      <c r="G214" t="s">
        <v>1422</v>
      </c>
      <c r="H214" t="s">
        <v>442</v>
      </c>
      <c r="I214" t="s">
        <v>1423</v>
      </c>
      <c r="J214">
        <v>1933</v>
      </c>
      <c r="K214" t="s">
        <v>77</v>
      </c>
      <c r="L214">
        <v>505</v>
      </c>
      <c r="M214" t="s">
        <v>121</v>
      </c>
      <c r="N214">
        <v>119</v>
      </c>
      <c r="O214" t="s">
        <v>49</v>
      </c>
    </row>
    <row r="215" spans="2:16" x14ac:dyDescent="0.2">
      <c r="B215" t="s">
        <v>1424</v>
      </c>
      <c r="C215" t="str">
        <f t="shared" si="3"/>
        <v>Nesovinsionia_vinsoni   -id-297</v>
      </c>
      <c r="E215" t="s">
        <v>1420</v>
      </c>
      <c r="F215" t="s">
        <v>1421</v>
      </c>
      <c r="G215" t="s">
        <v>1425</v>
      </c>
      <c r="H215" t="s">
        <v>442</v>
      </c>
      <c r="I215" t="s">
        <v>1426</v>
      </c>
      <c r="J215">
        <v>1883</v>
      </c>
      <c r="K215" t="s">
        <v>77</v>
      </c>
      <c r="L215">
        <v>505</v>
      </c>
      <c r="M215" t="s">
        <v>121</v>
      </c>
      <c r="N215">
        <v>120</v>
      </c>
      <c r="O215" t="s">
        <v>1427</v>
      </c>
    </row>
    <row r="216" spans="2:16" x14ac:dyDescent="0.2">
      <c r="B216" t="s">
        <v>363</v>
      </c>
      <c r="C216" t="str">
        <f t="shared" si="3"/>
        <v>Nicrophorus_orbicollis-id-66</v>
      </c>
      <c r="E216" t="s">
        <v>364</v>
      </c>
      <c r="F216" t="s">
        <v>365</v>
      </c>
      <c r="G216" t="s">
        <v>258</v>
      </c>
      <c r="H216" t="s">
        <v>259</v>
      </c>
      <c r="I216" t="s">
        <v>366</v>
      </c>
      <c r="J216">
        <v>36</v>
      </c>
      <c r="K216" t="s">
        <v>261</v>
      </c>
      <c r="L216" t="s">
        <v>258</v>
      </c>
      <c r="M216" t="s">
        <v>258</v>
      </c>
      <c r="N216" t="s">
        <v>258</v>
      </c>
      <c r="O216" t="s">
        <v>258</v>
      </c>
      <c r="P216" t="s">
        <v>262</v>
      </c>
    </row>
    <row r="217" spans="2:16" x14ac:dyDescent="0.2">
      <c r="B217" t="s">
        <v>367</v>
      </c>
      <c r="C217" t="str">
        <f t="shared" si="3"/>
        <v>Nicrophorus_vespilloides-id-67</v>
      </c>
      <c r="E217" t="s">
        <v>364</v>
      </c>
      <c r="F217" t="s">
        <v>368</v>
      </c>
      <c r="G217" t="s">
        <v>258</v>
      </c>
      <c r="H217" t="s">
        <v>259</v>
      </c>
      <c r="I217" t="s">
        <v>369</v>
      </c>
      <c r="J217">
        <v>70</v>
      </c>
      <c r="K217" t="s">
        <v>261</v>
      </c>
      <c r="L217" t="s">
        <v>258</v>
      </c>
      <c r="M217" t="s">
        <v>258</v>
      </c>
      <c r="N217" t="s">
        <v>258</v>
      </c>
      <c r="O217" t="s">
        <v>258</v>
      </c>
      <c r="P217" t="s">
        <v>262</v>
      </c>
    </row>
    <row r="218" spans="2:16" x14ac:dyDescent="0.2">
      <c r="B218" t="s">
        <v>1463</v>
      </c>
      <c r="C218" t="str">
        <f t="shared" si="3"/>
        <v>Ochichanton_sp1   -id-307</v>
      </c>
      <c r="E218" t="s">
        <v>1464</v>
      </c>
      <c r="F218" t="s">
        <v>455</v>
      </c>
      <c r="G218" t="s">
        <v>1465</v>
      </c>
      <c r="H218" t="s">
        <v>442</v>
      </c>
      <c r="I218" t="s">
        <v>1466</v>
      </c>
      <c r="J218">
        <v>1735</v>
      </c>
      <c r="K218" t="s">
        <v>77</v>
      </c>
      <c r="L218">
        <v>505</v>
      </c>
      <c r="M218" t="s">
        <v>121</v>
      </c>
      <c r="N218">
        <v>134</v>
      </c>
      <c r="O218" t="s">
        <v>919</v>
      </c>
    </row>
    <row r="219" spans="2:16" x14ac:dyDescent="0.2">
      <c r="B219" t="s">
        <v>1190</v>
      </c>
      <c r="C219" t="str">
        <f t="shared" si="3"/>
        <v>Odontoloma_planatum   -id-242</v>
      </c>
      <c r="E219" t="s">
        <v>1191</v>
      </c>
      <c r="F219" t="s">
        <v>1192</v>
      </c>
      <c r="G219" t="s">
        <v>1193</v>
      </c>
      <c r="H219" t="s">
        <v>442</v>
      </c>
      <c r="I219" t="s">
        <v>1194</v>
      </c>
      <c r="J219">
        <v>1589</v>
      </c>
      <c r="K219" t="s">
        <v>77</v>
      </c>
      <c r="L219">
        <v>1102</v>
      </c>
      <c r="M219" t="s">
        <v>59</v>
      </c>
      <c r="N219">
        <v>80</v>
      </c>
      <c r="O219" t="s">
        <v>1195</v>
      </c>
    </row>
    <row r="220" spans="2:16" x14ac:dyDescent="0.2">
      <c r="B220" t="s">
        <v>1217</v>
      </c>
      <c r="C220" t="str">
        <f t="shared" si="3"/>
        <v>Odontoloma_sp1   -id-248</v>
      </c>
      <c r="E220" t="s">
        <v>1191</v>
      </c>
      <c r="F220" t="s">
        <v>455</v>
      </c>
      <c r="G220" t="s">
        <v>1218</v>
      </c>
      <c r="H220" t="s">
        <v>442</v>
      </c>
      <c r="I220" t="s">
        <v>1219</v>
      </c>
      <c r="J220">
        <v>1500</v>
      </c>
      <c r="K220" t="s">
        <v>77</v>
      </c>
      <c r="L220">
        <v>1102</v>
      </c>
      <c r="M220" t="s">
        <v>59</v>
      </c>
      <c r="N220">
        <v>35</v>
      </c>
      <c r="O220" t="s">
        <v>681</v>
      </c>
    </row>
    <row r="221" spans="2:16" x14ac:dyDescent="0.2">
      <c r="B221" t="s">
        <v>370</v>
      </c>
      <c r="C221" t="str">
        <f t="shared" si="3"/>
        <v>Omorgus_sp-id-68</v>
      </c>
      <c r="E221" t="s">
        <v>371</v>
      </c>
      <c r="F221" t="s">
        <v>265</v>
      </c>
      <c r="G221" t="s">
        <v>372</v>
      </c>
      <c r="H221" t="s">
        <v>259</v>
      </c>
      <c r="I221" t="s">
        <v>373</v>
      </c>
      <c r="J221">
        <v>1221</v>
      </c>
      <c r="K221" t="s">
        <v>77</v>
      </c>
      <c r="L221">
        <v>504</v>
      </c>
      <c r="M221" t="s">
        <v>78</v>
      </c>
      <c r="N221">
        <v>167</v>
      </c>
      <c r="O221" t="s">
        <v>374</v>
      </c>
      <c r="P221" t="s">
        <v>23</v>
      </c>
    </row>
    <row r="222" spans="2:16" x14ac:dyDescent="0.2">
      <c r="B222" t="s">
        <v>375</v>
      </c>
      <c r="C222" t="str">
        <f t="shared" si="3"/>
        <v>Oniticellus_cinctus-id-69</v>
      </c>
      <c r="E222" t="s">
        <v>376</v>
      </c>
      <c r="F222" t="s">
        <v>377</v>
      </c>
      <c r="G222" t="s">
        <v>378</v>
      </c>
      <c r="H222" t="s">
        <v>259</v>
      </c>
      <c r="I222" t="s">
        <v>379</v>
      </c>
      <c r="J222">
        <v>1454</v>
      </c>
      <c r="K222" t="s">
        <v>261</v>
      </c>
      <c r="L222" t="s">
        <v>258</v>
      </c>
      <c r="M222" t="s">
        <v>258</v>
      </c>
      <c r="N222" t="s">
        <v>258</v>
      </c>
      <c r="O222" t="s">
        <v>258</v>
      </c>
      <c r="P222" t="s">
        <v>262</v>
      </c>
    </row>
    <row r="223" spans="2:16" x14ac:dyDescent="0.2">
      <c r="B223" t="s">
        <v>605</v>
      </c>
      <c r="C223" t="str">
        <f t="shared" si="3"/>
        <v>Oniticellus_planatus   -id-118</v>
      </c>
      <c r="E223" t="s">
        <v>376</v>
      </c>
      <c r="F223" t="s">
        <v>606</v>
      </c>
      <c r="G223" t="s">
        <v>607</v>
      </c>
      <c r="H223" t="s">
        <v>442</v>
      </c>
      <c r="I223" t="s">
        <v>608</v>
      </c>
      <c r="J223">
        <v>2511</v>
      </c>
      <c r="K223" t="s">
        <v>77</v>
      </c>
      <c r="L223">
        <v>507</v>
      </c>
      <c r="M223" t="s">
        <v>21</v>
      </c>
      <c r="N223">
        <v>3</v>
      </c>
      <c r="O223" t="s">
        <v>609</v>
      </c>
    </row>
    <row r="224" spans="2:16" x14ac:dyDescent="0.2">
      <c r="B224" t="s">
        <v>899</v>
      </c>
      <c r="C224" t="str">
        <f t="shared" si="3"/>
        <v>Onitis_alexis   -id-177</v>
      </c>
      <c r="E224" t="s">
        <v>622</v>
      </c>
      <c r="F224" t="s">
        <v>900</v>
      </c>
      <c r="G224" t="s">
        <v>901</v>
      </c>
      <c r="H224" t="s">
        <v>442</v>
      </c>
      <c r="I224" t="s">
        <v>902</v>
      </c>
      <c r="J224">
        <v>1754</v>
      </c>
      <c r="K224" t="s">
        <v>77</v>
      </c>
      <c r="L224">
        <v>501</v>
      </c>
      <c r="M224" t="s">
        <v>48</v>
      </c>
      <c r="N224">
        <v>126</v>
      </c>
      <c r="O224" t="s">
        <v>903</v>
      </c>
    </row>
    <row r="225" spans="2:16" x14ac:dyDescent="0.2">
      <c r="B225" t="s">
        <v>621</v>
      </c>
      <c r="C225" t="str">
        <f t="shared" si="3"/>
        <v>Onitis_caffer   -id-121</v>
      </c>
      <c r="E225" t="s">
        <v>622</v>
      </c>
      <c r="F225" t="s">
        <v>623</v>
      </c>
      <c r="G225" t="s">
        <v>624</v>
      </c>
      <c r="H225" t="s">
        <v>442</v>
      </c>
      <c r="I225" t="s">
        <v>625</v>
      </c>
      <c r="J225">
        <v>2183</v>
      </c>
      <c r="K225" t="s">
        <v>77</v>
      </c>
      <c r="L225">
        <v>507</v>
      </c>
      <c r="M225" t="s">
        <v>21</v>
      </c>
      <c r="N225">
        <v>52</v>
      </c>
      <c r="O225" t="s">
        <v>626</v>
      </c>
    </row>
    <row r="226" spans="2:16" x14ac:dyDescent="0.2">
      <c r="B226" t="s">
        <v>1323</v>
      </c>
      <c r="C226" t="str">
        <f t="shared" si="3"/>
        <v>Onitis_uncinatus   -id-273</v>
      </c>
      <c r="E226" t="s">
        <v>622</v>
      </c>
      <c r="F226" t="s">
        <v>1324</v>
      </c>
      <c r="G226" t="s">
        <v>1325</v>
      </c>
      <c r="H226" t="s">
        <v>442</v>
      </c>
      <c r="I226" t="s">
        <v>1326</v>
      </c>
      <c r="J226">
        <v>1741</v>
      </c>
      <c r="K226" t="s">
        <v>77</v>
      </c>
      <c r="L226">
        <v>505</v>
      </c>
      <c r="M226" t="s">
        <v>121</v>
      </c>
      <c r="N226">
        <v>186</v>
      </c>
      <c r="O226" t="s">
        <v>1327</v>
      </c>
    </row>
    <row r="227" spans="2:16" x14ac:dyDescent="0.2">
      <c r="B227" t="s">
        <v>637</v>
      </c>
      <c r="C227" t="str">
        <f t="shared" si="3"/>
        <v>Onthophagus_Bicornonthophagus interstitialis  -id-124</v>
      </c>
      <c r="E227" t="s">
        <v>175</v>
      </c>
      <c r="F227" t="s">
        <v>638</v>
      </c>
      <c r="G227" t="s">
        <v>639</v>
      </c>
      <c r="H227" t="s">
        <v>442</v>
      </c>
      <c r="I227" t="s">
        <v>640</v>
      </c>
      <c r="J227">
        <v>2647</v>
      </c>
      <c r="K227" t="s">
        <v>77</v>
      </c>
      <c r="L227">
        <v>507</v>
      </c>
      <c r="M227" t="s">
        <v>21</v>
      </c>
      <c r="N227">
        <v>91</v>
      </c>
      <c r="O227" t="s">
        <v>641</v>
      </c>
    </row>
    <row r="228" spans="2:16" x14ac:dyDescent="0.2">
      <c r="B228" t="s">
        <v>850</v>
      </c>
      <c r="C228" t="str">
        <f t="shared" si="3"/>
        <v>Onthophagus_cf muelleri  -id-166</v>
      </c>
      <c r="E228" t="s">
        <v>175</v>
      </c>
      <c r="F228" t="s">
        <v>851</v>
      </c>
      <c r="G228" t="s">
        <v>852</v>
      </c>
      <c r="H228" t="s">
        <v>442</v>
      </c>
      <c r="I228" t="s">
        <v>853</v>
      </c>
      <c r="J228">
        <v>2330</v>
      </c>
      <c r="K228" t="s">
        <v>77</v>
      </c>
      <c r="L228">
        <v>501</v>
      </c>
      <c r="M228" t="s">
        <v>48</v>
      </c>
      <c r="N228">
        <v>106</v>
      </c>
      <c r="O228" t="s">
        <v>128</v>
      </c>
    </row>
    <row r="229" spans="2:16" x14ac:dyDescent="0.2">
      <c r="B229" t="s">
        <v>174</v>
      </c>
      <c r="C229" t="str">
        <f t="shared" si="3"/>
        <v>Onthophagus_cf.bicavifrons-id-28</v>
      </c>
      <c r="E229" t="s">
        <v>175</v>
      </c>
      <c r="F229" t="s">
        <v>176</v>
      </c>
      <c r="G229" t="s">
        <v>177</v>
      </c>
      <c r="H229" t="s">
        <v>18</v>
      </c>
      <c r="I229" t="s">
        <v>178</v>
      </c>
      <c r="J229">
        <v>1331</v>
      </c>
      <c r="K229" t="s">
        <v>77</v>
      </c>
      <c r="L229">
        <v>505</v>
      </c>
      <c r="M229" t="s">
        <v>121</v>
      </c>
      <c r="N229">
        <v>177</v>
      </c>
      <c r="O229" t="s">
        <v>179</v>
      </c>
      <c r="P229" t="s">
        <v>23</v>
      </c>
    </row>
    <row r="230" spans="2:16" x14ac:dyDescent="0.2">
      <c r="B230" t="s">
        <v>1282</v>
      </c>
      <c r="C230" t="str">
        <f t="shared" si="3"/>
        <v>Onthophagus_Euonthophagus flavimargo  -id-263</v>
      </c>
      <c r="E230" t="s">
        <v>175</v>
      </c>
      <c r="F230" t="s">
        <v>1283</v>
      </c>
      <c r="G230" t="s">
        <v>1284</v>
      </c>
      <c r="H230" t="s">
        <v>442</v>
      </c>
      <c r="I230" t="s">
        <v>1285</v>
      </c>
      <c r="J230">
        <v>1411</v>
      </c>
      <c r="K230" t="s">
        <v>77</v>
      </c>
      <c r="L230">
        <v>1102</v>
      </c>
      <c r="M230" t="s">
        <v>59</v>
      </c>
      <c r="N230">
        <v>85</v>
      </c>
      <c r="O230" t="s">
        <v>802</v>
      </c>
    </row>
    <row r="231" spans="2:16" x14ac:dyDescent="0.2">
      <c r="B231" t="s">
        <v>1143</v>
      </c>
      <c r="C231" t="str">
        <f t="shared" si="3"/>
        <v>Onthophagus_Furconthophagus variegatus  -id-230</v>
      </c>
      <c r="E231" t="s">
        <v>175</v>
      </c>
      <c r="F231" t="s">
        <v>1144</v>
      </c>
      <c r="G231" t="s">
        <v>1145</v>
      </c>
      <c r="H231" t="s">
        <v>442</v>
      </c>
      <c r="I231" t="s">
        <v>1146</v>
      </c>
      <c r="J231">
        <v>1916</v>
      </c>
      <c r="K231" t="s">
        <v>77</v>
      </c>
      <c r="L231">
        <v>1102</v>
      </c>
      <c r="M231" t="s">
        <v>59</v>
      </c>
      <c r="N231">
        <v>65</v>
      </c>
      <c r="O231" t="s">
        <v>1147</v>
      </c>
    </row>
    <row r="232" spans="2:16" x14ac:dyDescent="0.2">
      <c r="B232" t="s">
        <v>868</v>
      </c>
      <c r="C232" t="str">
        <f t="shared" si="3"/>
        <v>Onthophagus_Gibbonthophagus rectecornutus  -id-170</v>
      </c>
      <c r="E232" t="s">
        <v>175</v>
      </c>
      <c r="F232" t="s">
        <v>869</v>
      </c>
      <c r="G232" t="s">
        <v>870</v>
      </c>
      <c r="H232" t="s">
        <v>442</v>
      </c>
      <c r="I232" t="s">
        <v>871</v>
      </c>
      <c r="J232">
        <v>2773</v>
      </c>
      <c r="K232" t="s">
        <v>77</v>
      </c>
      <c r="L232">
        <v>501</v>
      </c>
      <c r="M232" t="s">
        <v>48</v>
      </c>
      <c r="N232">
        <v>114</v>
      </c>
      <c r="O232" t="s">
        <v>140</v>
      </c>
    </row>
    <row r="233" spans="2:16" x14ac:dyDescent="0.2">
      <c r="B233" t="s">
        <v>881</v>
      </c>
      <c r="C233" t="str">
        <f t="shared" si="3"/>
        <v>Onthophagus_Hikidaeus waterstradti  -id-173</v>
      </c>
      <c r="E233" t="s">
        <v>175</v>
      </c>
      <c r="F233" t="s">
        <v>882</v>
      </c>
      <c r="G233" t="s">
        <v>883</v>
      </c>
      <c r="H233" t="s">
        <v>442</v>
      </c>
      <c r="I233" t="s">
        <v>884</v>
      </c>
      <c r="J233">
        <v>2386</v>
      </c>
      <c r="K233" t="s">
        <v>77</v>
      </c>
      <c r="L233">
        <v>501</v>
      </c>
      <c r="M233" t="s">
        <v>48</v>
      </c>
      <c r="N233">
        <v>117</v>
      </c>
      <c r="O233" t="s">
        <v>437</v>
      </c>
    </row>
    <row r="234" spans="2:16" x14ac:dyDescent="0.2">
      <c r="B234" t="s">
        <v>1052</v>
      </c>
      <c r="C234" t="str">
        <f t="shared" si="3"/>
        <v>Onthophagus_Micronthophagus sp1  -id-209</v>
      </c>
      <c r="E234" t="s">
        <v>175</v>
      </c>
      <c r="F234" t="s">
        <v>1053</v>
      </c>
      <c r="G234" t="s">
        <v>1054</v>
      </c>
      <c r="H234" t="s">
        <v>442</v>
      </c>
      <c r="I234" t="s">
        <v>1055</v>
      </c>
      <c r="J234">
        <v>2804</v>
      </c>
      <c r="K234" t="s">
        <v>77</v>
      </c>
      <c r="L234">
        <v>501</v>
      </c>
      <c r="M234" t="s">
        <v>48</v>
      </c>
      <c r="N234">
        <v>178</v>
      </c>
      <c r="O234" t="s">
        <v>1056</v>
      </c>
    </row>
    <row r="235" spans="2:16" x14ac:dyDescent="0.2">
      <c r="B235" t="s">
        <v>863</v>
      </c>
      <c r="C235" t="str">
        <f t="shared" si="3"/>
        <v>Onthophagus_Onthophagiellus cf sp1 -id-169</v>
      </c>
      <c r="E235" t="s">
        <v>175</v>
      </c>
      <c r="F235" t="s">
        <v>864</v>
      </c>
      <c r="G235" t="s">
        <v>865</v>
      </c>
      <c r="H235" t="s">
        <v>442</v>
      </c>
      <c r="I235" t="s">
        <v>866</v>
      </c>
      <c r="J235">
        <v>1707</v>
      </c>
      <c r="K235" t="s">
        <v>77</v>
      </c>
      <c r="L235">
        <v>501</v>
      </c>
      <c r="M235" t="s">
        <v>48</v>
      </c>
      <c r="N235">
        <v>109</v>
      </c>
      <c r="O235" t="s">
        <v>867</v>
      </c>
    </row>
    <row r="236" spans="2:16" x14ac:dyDescent="0.2">
      <c r="B236" t="s">
        <v>647</v>
      </c>
      <c r="C236" t="str">
        <f t="shared" si="3"/>
        <v>Onthophagus_Palaeonthophagus gibbulus  -id-126</v>
      </c>
      <c r="E236" t="s">
        <v>175</v>
      </c>
      <c r="F236" t="s">
        <v>648</v>
      </c>
      <c r="G236" t="s">
        <v>649</v>
      </c>
      <c r="H236" t="s">
        <v>442</v>
      </c>
      <c r="I236" t="s">
        <v>650</v>
      </c>
      <c r="J236">
        <v>2667</v>
      </c>
      <c r="K236" t="s">
        <v>77</v>
      </c>
      <c r="L236">
        <v>507</v>
      </c>
      <c r="M236" t="s">
        <v>21</v>
      </c>
      <c r="N236">
        <v>86</v>
      </c>
      <c r="O236" t="s">
        <v>651</v>
      </c>
    </row>
    <row r="237" spans="2:16" x14ac:dyDescent="0.2">
      <c r="B237" t="s">
        <v>687</v>
      </c>
      <c r="C237" t="str">
        <f t="shared" si="3"/>
        <v>Onthophagus_Paraphanaeomorphus aff phanaeiformis -id-134</v>
      </c>
      <c r="E237" t="s">
        <v>175</v>
      </c>
      <c r="F237" t="s">
        <v>688</v>
      </c>
      <c r="G237" t="s">
        <v>689</v>
      </c>
      <c r="H237" t="s">
        <v>442</v>
      </c>
      <c r="I237" t="s">
        <v>690</v>
      </c>
      <c r="J237">
        <v>2683</v>
      </c>
      <c r="K237" t="s">
        <v>77</v>
      </c>
      <c r="L237">
        <v>507</v>
      </c>
      <c r="M237" t="s">
        <v>21</v>
      </c>
      <c r="N237">
        <v>4</v>
      </c>
      <c r="O237" t="s">
        <v>691</v>
      </c>
    </row>
    <row r="238" spans="2:16" x14ac:dyDescent="0.2">
      <c r="B238" t="s">
        <v>727</v>
      </c>
      <c r="C238" t="str">
        <f t="shared" si="3"/>
        <v>Onthophagus_Parascatonomus tricornis  -id-142</v>
      </c>
      <c r="E238" t="s">
        <v>175</v>
      </c>
      <c r="F238" t="s">
        <v>728</v>
      </c>
      <c r="G238" t="s">
        <v>729</v>
      </c>
      <c r="H238" t="s">
        <v>442</v>
      </c>
      <c r="I238" t="s">
        <v>730</v>
      </c>
      <c r="J238">
        <v>2604</v>
      </c>
      <c r="K238" t="s">
        <v>77</v>
      </c>
      <c r="L238">
        <v>507</v>
      </c>
      <c r="M238" t="s">
        <v>21</v>
      </c>
      <c r="N238">
        <v>66</v>
      </c>
      <c r="O238" t="s">
        <v>731</v>
      </c>
    </row>
    <row r="239" spans="2:16" x14ac:dyDescent="0.2">
      <c r="B239" t="s">
        <v>1298</v>
      </c>
      <c r="C239" t="str">
        <f t="shared" si="3"/>
        <v>Onthophagus_pipitzi   -id-267</v>
      </c>
      <c r="E239" t="s">
        <v>175</v>
      </c>
      <c r="F239" t="s">
        <v>1299</v>
      </c>
      <c r="G239" t="s">
        <v>1300</v>
      </c>
      <c r="H239" t="s">
        <v>442</v>
      </c>
      <c r="I239" t="s">
        <v>1301</v>
      </c>
      <c r="J239">
        <v>2329</v>
      </c>
      <c r="K239" t="s">
        <v>77</v>
      </c>
      <c r="L239">
        <v>504</v>
      </c>
      <c r="M239" t="s">
        <v>78</v>
      </c>
      <c r="N239">
        <v>156</v>
      </c>
      <c r="O239" t="s">
        <v>1302</v>
      </c>
    </row>
    <row r="240" spans="2:16" x14ac:dyDescent="0.2">
      <c r="B240" t="s">
        <v>192</v>
      </c>
      <c r="C240" t="str">
        <f t="shared" si="3"/>
        <v>Onthophagus_probus-id-31</v>
      </c>
      <c r="E240" t="s">
        <v>175</v>
      </c>
      <c r="F240" t="s">
        <v>193</v>
      </c>
      <c r="G240" t="s">
        <v>194</v>
      </c>
      <c r="H240" t="s">
        <v>18</v>
      </c>
      <c r="I240" t="s">
        <v>195</v>
      </c>
      <c r="J240">
        <v>1748</v>
      </c>
      <c r="K240" t="s">
        <v>77</v>
      </c>
      <c r="L240">
        <v>506</v>
      </c>
      <c r="M240" t="s">
        <v>196</v>
      </c>
      <c r="N240">
        <v>111</v>
      </c>
      <c r="O240" t="s">
        <v>97</v>
      </c>
      <c r="P240" t="s">
        <v>23</v>
      </c>
    </row>
    <row r="241" spans="2:15" x14ac:dyDescent="0.2">
      <c r="B241" t="s">
        <v>920</v>
      </c>
      <c r="C241" t="str">
        <f t="shared" si="3"/>
        <v>Onthophagus_Pseudophanaeomorphus quasijohkii aff  -id-182</v>
      </c>
      <c r="E241" t="s">
        <v>175</v>
      </c>
      <c r="F241" t="s">
        <v>921</v>
      </c>
      <c r="G241" t="s">
        <v>922</v>
      </c>
      <c r="H241" t="s">
        <v>442</v>
      </c>
      <c r="I241" t="s">
        <v>923</v>
      </c>
      <c r="J241">
        <v>2557</v>
      </c>
      <c r="K241" t="s">
        <v>77</v>
      </c>
      <c r="L241">
        <v>501</v>
      </c>
      <c r="M241" t="s">
        <v>48</v>
      </c>
      <c r="N241">
        <v>135</v>
      </c>
      <c r="O241" t="s">
        <v>924</v>
      </c>
    </row>
    <row r="242" spans="2:15" x14ac:dyDescent="0.2">
      <c r="B242" t="s">
        <v>819</v>
      </c>
      <c r="C242" t="str">
        <f t="shared" si="3"/>
        <v>Onthophagus_Serrophorus seniculus  -id-160</v>
      </c>
      <c r="E242" t="s">
        <v>175</v>
      </c>
      <c r="F242" t="s">
        <v>820</v>
      </c>
      <c r="G242" t="s">
        <v>821</v>
      </c>
      <c r="H242" t="s">
        <v>442</v>
      </c>
      <c r="I242" t="s">
        <v>822</v>
      </c>
      <c r="J242">
        <v>2655</v>
      </c>
      <c r="K242" t="s">
        <v>77</v>
      </c>
      <c r="L242">
        <v>501</v>
      </c>
      <c r="M242" t="s">
        <v>48</v>
      </c>
      <c r="N242">
        <v>97</v>
      </c>
      <c r="O242" t="s">
        <v>823</v>
      </c>
    </row>
    <row r="243" spans="2:15" x14ac:dyDescent="0.2">
      <c r="B243" t="s">
        <v>1201</v>
      </c>
      <c r="C243" t="str">
        <f t="shared" si="3"/>
        <v>Onthophagus_sl baeri  -id-244</v>
      </c>
      <c r="E243" t="s">
        <v>175</v>
      </c>
      <c r="F243" t="s">
        <v>1202</v>
      </c>
      <c r="G243" t="s">
        <v>1203</v>
      </c>
      <c r="H243" t="s">
        <v>442</v>
      </c>
      <c r="I243" t="s">
        <v>1204</v>
      </c>
      <c r="J243">
        <v>2676</v>
      </c>
      <c r="K243" t="s">
        <v>77</v>
      </c>
      <c r="L243">
        <v>1102</v>
      </c>
      <c r="M243" t="s">
        <v>59</v>
      </c>
      <c r="N243">
        <v>48</v>
      </c>
      <c r="O243" t="s">
        <v>1205</v>
      </c>
    </row>
    <row r="244" spans="2:15" x14ac:dyDescent="0.2">
      <c r="B244" t="s">
        <v>1260</v>
      </c>
      <c r="C244" t="str">
        <f t="shared" si="3"/>
        <v>Onthophagus_sl batillifer  -id-258</v>
      </c>
      <c r="E244" t="s">
        <v>175</v>
      </c>
      <c r="F244" t="s">
        <v>1261</v>
      </c>
      <c r="G244" t="s">
        <v>1262</v>
      </c>
      <c r="H244" t="s">
        <v>442</v>
      </c>
      <c r="I244" t="s">
        <v>1263</v>
      </c>
      <c r="J244">
        <v>2196</v>
      </c>
      <c r="K244" t="s">
        <v>77</v>
      </c>
      <c r="L244">
        <v>1102</v>
      </c>
      <c r="M244" t="s">
        <v>59</v>
      </c>
      <c r="N244">
        <v>10</v>
      </c>
      <c r="O244" t="s">
        <v>510</v>
      </c>
    </row>
    <row r="245" spans="2:15" x14ac:dyDescent="0.2">
      <c r="B245" t="s">
        <v>661</v>
      </c>
      <c r="C245" t="str">
        <f t="shared" si="3"/>
        <v>Onthophagus_sl borneensis  -id-129</v>
      </c>
      <c r="E245" t="s">
        <v>175</v>
      </c>
      <c r="F245" t="s">
        <v>662</v>
      </c>
      <c r="G245" t="s">
        <v>663</v>
      </c>
      <c r="H245" t="s">
        <v>442</v>
      </c>
      <c r="I245" t="s">
        <v>664</v>
      </c>
      <c r="J245">
        <v>995</v>
      </c>
      <c r="K245" t="s">
        <v>77</v>
      </c>
      <c r="L245">
        <v>507</v>
      </c>
      <c r="M245" t="s">
        <v>21</v>
      </c>
      <c r="N245">
        <v>87</v>
      </c>
      <c r="O245" t="s">
        <v>665</v>
      </c>
    </row>
    <row r="246" spans="2:15" x14ac:dyDescent="0.2">
      <c r="B246" t="s">
        <v>1105</v>
      </c>
      <c r="C246" t="str">
        <f t="shared" si="3"/>
        <v>Onthophagus_sl cf quadrimaculatus -id-221</v>
      </c>
      <c r="E246" t="s">
        <v>175</v>
      </c>
      <c r="F246" t="s">
        <v>1106</v>
      </c>
      <c r="G246" t="s">
        <v>1107</v>
      </c>
      <c r="H246" t="s">
        <v>442</v>
      </c>
      <c r="I246" t="s">
        <v>1108</v>
      </c>
      <c r="J246">
        <v>2451</v>
      </c>
      <c r="K246" t="s">
        <v>77</v>
      </c>
      <c r="L246">
        <v>1102</v>
      </c>
      <c r="M246" t="s">
        <v>59</v>
      </c>
      <c r="N246">
        <v>54</v>
      </c>
      <c r="O246" t="s">
        <v>544</v>
      </c>
    </row>
    <row r="247" spans="2:15" x14ac:dyDescent="0.2">
      <c r="B247" t="s">
        <v>742</v>
      </c>
      <c r="C247" t="str">
        <f t="shared" si="3"/>
        <v>Onthophagus_sl giraffa  -id-145</v>
      </c>
      <c r="E247" t="s">
        <v>175</v>
      </c>
      <c r="F247" t="s">
        <v>743</v>
      </c>
      <c r="G247" t="s">
        <v>744</v>
      </c>
      <c r="H247" t="s">
        <v>442</v>
      </c>
      <c r="I247" t="s">
        <v>745</v>
      </c>
      <c r="J247">
        <v>2877</v>
      </c>
      <c r="K247" t="s">
        <v>77</v>
      </c>
      <c r="L247">
        <v>507</v>
      </c>
      <c r="M247" t="s">
        <v>21</v>
      </c>
      <c r="N247">
        <v>22</v>
      </c>
      <c r="O247" t="s">
        <v>746</v>
      </c>
    </row>
    <row r="248" spans="2:15" x14ac:dyDescent="0.2">
      <c r="B248" t="s">
        <v>798</v>
      </c>
      <c r="C248" t="str">
        <f t="shared" si="3"/>
        <v>Onthophagus_sl laevis  -id-156</v>
      </c>
      <c r="E248" t="s">
        <v>175</v>
      </c>
      <c r="F248" t="s">
        <v>799</v>
      </c>
      <c r="G248" t="s">
        <v>800</v>
      </c>
      <c r="H248" t="s">
        <v>442</v>
      </c>
      <c r="I248" t="s">
        <v>801</v>
      </c>
      <c r="J248">
        <v>2470</v>
      </c>
      <c r="K248" t="s">
        <v>77</v>
      </c>
      <c r="L248">
        <v>507</v>
      </c>
      <c r="M248" t="s">
        <v>21</v>
      </c>
      <c r="N248">
        <v>85</v>
      </c>
      <c r="O248" t="s">
        <v>802</v>
      </c>
    </row>
    <row r="249" spans="2:15" x14ac:dyDescent="0.2">
      <c r="B249" t="s">
        <v>1170</v>
      </c>
      <c r="C249" t="str">
        <f t="shared" si="3"/>
        <v>Onthophagus_sl lamelliger  -id-237</v>
      </c>
      <c r="E249" t="s">
        <v>175</v>
      </c>
      <c r="F249" t="s">
        <v>1171</v>
      </c>
      <c r="G249" t="s">
        <v>1172</v>
      </c>
      <c r="H249" t="s">
        <v>442</v>
      </c>
      <c r="I249" t="s">
        <v>1173</v>
      </c>
      <c r="J249">
        <v>2392</v>
      </c>
      <c r="K249" t="s">
        <v>77</v>
      </c>
      <c r="L249">
        <v>1102</v>
      </c>
      <c r="M249" t="s">
        <v>59</v>
      </c>
      <c r="N249">
        <v>93</v>
      </c>
      <c r="O249" t="s">
        <v>614</v>
      </c>
    </row>
    <row r="250" spans="2:15" x14ac:dyDescent="0.2">
      <c r="B250" t="s">
        <v>752</v>
      </c>
      <c r="C250" t="str">
        <f t="shared" si="3"/>
        <v>Onthophagus_sl leucopygus  -id-147</v>
      </c>
      <c r="E250" t="s">
        <v>175</v>
      </c>
      <c r="F250" t="s">
        <v>753</v>
      </c>
      <c r="G250" t="s">
        <v>754</v>
      </c>
      <c r="H250" t="s">
        <v>442</v>
      </c>
      <c r="I250" t="s">
        <v>755</v>
      </c>
      <c r="J250">
        <v>2846</v>
      </c>
      <c r="K250" t="s">
        <v>77</v>
      </c>
      <c r="L250">
        <v>507</v>
      </c>
      <c r="M250" t="s">
        <v>21</v>
      </c>
      <c r="N250">
        <v>69</v>
      </c>
      <c r="O250" t="s">
        <v>756</v>
      </c>
    </row>
    <row r="251" spans="2:15" x14ac:dyDescent="0.2">
      <c r="B251" t="s">
        <v>1242</v>
      </c>
      <c r="C251" t="str">
        <f t="shared" si="3"/>
        <v>Onthophagus_sl pilosus  -id-254</v>
      </c>
      <c r="E251" t="s">
        <v>175</v>
      </c>
      <c r="F251" t="s">
        <v>1243</v>
      </c>
      <c r="G251" t="s">
        <v>1244</v>
      </c>
      <c r="H251" t="s">
        <v>442</v>
      </c>
      <c r="I251" t="s">
        <v>1245</v>
      </c>
      <c r="J251">
        <v>2797</v>
      </c>
      <c r="K251" t="s">
        <v>77</v>
      </c>
      <c r="L251">
        <v>1102</v>
      </c>
      <c r="M251" t="s">
        <v>59</v>
      </c>
      <c r="N251">
        <v>53</v>
      </c>
      <c r="O251" t="s">
        <v>1246</v>
      </c>
    </row>
    <row r="252" spans="2:15" x14ac:dyDescent="0.2">
      <c r="B252" t="s">
        <v>1286</v>
      </c>
      <c r="C252" t="str">
        <f t="shared" si="3"/>
        <v>Onthophagus_sl sp1 cf gr-id-264</v>
      </c>
      <c r="E252" t="s">
        <v>175</v>
      </c>
      <c r="F252" t="s">
        <v>1287</v>
      </c>
      <c r="G252" t="s">
        <v>1288</v>
      </c>
      <c r="H252" t="s">
        <v>442</v>
      </c>
      <c r="I252" t="s">
        <v>1289</v>
      </c>
      <c r="J252">
        <v>443</v>
      </c>
      <c r="K252" t="s">
        <v>77</v>
      </c>
      <c r="L252">
        <v>1102</v>
      </c>
      <c r="M252" t="s">
        <v>59</v>
      </c>
      <c r="N252">
        <v>56</v>
      </c>
      <c r="O252" t="s">
        <v>802</v>
      </c>
    </row>
    <row r="253" spans="2:15" x14ac:dyDescent="0.2">
      <c r="B253" t="s">
        <v>963</v>
      </c>
      <c r="C253" t="str">
        <f t="shared" si="3"/>
        <v>Onthophagus_sl vinctus  -id-191</v>
      </c>
      <c r="E253" t="s">
        <v>175</v>
      </c>
      <c r="F253" t="s">
        <v>964</v>
      </c>
      <c r="G253" t="s">
        <v>965</v>
      </c>
      <c r="H253" t="s">
        <v>442</v>
      </c>
      <c r="I253" t="s">
        <v>966</v>
      </c>
      <c r="J253">
        <v>2585</v>
      </c>
      <c r="K253" t="s">
        <v>77</v>
      </c>
      <c r="L253">
        <v>501</v>
      </c>
      <c r="M253" t="s">
        <v>48</v>
      </c>
      <c r="N253">
        <v>147</v>
      </c>
      <c r="O253" t="s">
        <v>967</v>
      </c>
    </row>
    <row r="254" spans="2:15" x14ac:dyDescent="0.2">
      <c r="B254" t="s">
        <v>829</v>
      </c>
      <c r="C254" t="str">
        <f t="shared" si="3"/>
        <v>Onthophagus_sl vulpes  -id-162</v>
      </c>
      <c r="E254" t="s">
        <v>175</v>
      </c>
      <c r="F254" t="s">
        <v>830</v>
      </c>
      <c r="G254" t="s">
        <v>831</v>
      </c>
      <c r="H254" t="s">
        <v>442</v>
      </c>
      <c r="I254" t="s">
        <v>832</v>
      </c>
      <c r="J254">
        <v>2840</v>
      </c>
      <c r="K254" t="s">
        <v>77</v>
      </c>
      <c r="L254">
        <v>501</v>
      </c>
      <c r="M254" t="s">
        <v>48</v>
      </c>
      <c r="N254">
        <v>101</v>
      </c>
      <c r="O254" t="s">
        <v>833</v>
      </c>
    </row>
    <row r="255" spans="2:15" x14ac:dyDescent="0.2">
      <c r="B255" t="s">
        <v>1210</v>
      </c>
      <c r="C255" t="str">
        <f t="shared" si="3"/>
        <v>Onthophagus_sstr obscurior  -id-246</v>
      </c>
      <c r="E255" t="s">
        <v>175</v>
      </c>
      <c r="F255" t="s">
        <v>1211</v>
      </c>
      <c r="G255" t="s">
        <v>1212</v>
      </c>
      <c r="H255" t="s">
        <v>442</v>
      </c>
      <c r="I255" t="s">
        <v>1213</v>
      </c>
      <c r="J255">
        <v>2771</v>
      </c>
      <c r="K255" t="s">
        <v>77</v>
      </c>
      <c r="L255">
        <v>1102</v>
      </c>
      <c r="M255" t="s">
        <v>59</v>
      </c>
      <c r="N255">
        <v>21</v>
      </c>
      <c r="O255" t="s">
        <v>671</v>
      </c>
    </row>
    <row r="256" spans="2:15" x14ac:dyDescent="0.2">
      <c r="B256" t="s">
        <v>877</v>
      </c>
      <c r="C256" t="str">
        <f t="shared" si="3"/>
        <v>Onthophagus_Sunenaga streltsovi cf -id-172</v>
      </c>
      <c r="E256" t="s">
        <v>175</v>
      </c>
      <c r="F256" t="s">
        <v>878</v>
      </c>
      <c r="G256" t="s">
        <v>879</v>
      </c>
      <c r="H256" t="s">
        <v>442</v>
      </c>
      <c r="I256" t="s">
        <v>880</v>
      </c>
      <c r="J256">
        <v>2052</v>
      </c>
      <c r="K256" t="s">
        <v>77</v>
      </c>
      <c r="L256">
        <v>501</v>
      </c>
      <c r="M256" t="s">
        <v>48</v>
      </c>
      <c r="N256">
        <v>116</v>
      </c>
      <c r="O256" t="s">
        <v>146</v>
      </c>
    </row>
    <row r="257" spans="2:16" x14ac:dyDescent="0.2">
      <c r="B257" t="s">
        <v>380</v>
      </c>
      <c r="C257" t="str">
        <f t="shared" si="3"/>
        <v>Onthophagus_taurus-id-70</v>
      </c>
      <c r="E257" t="s">
        <v>175</v>
      </c>
      <c r="F257" t="s">
        <v>381</v>
      </c>
      <c r="G257" t="s">
        <v>382</v>
      </c>
      <c r="H257" t="s">
        <v>259</v>
      </c>
      <c r="I257" t="s">
        <v>383</v>
      </c>
      <c r="J257">
        <v>2865</v>
      </c>
      <c r="K257" t="s">
        <v>261</v>
      </c>
      <c r="L257" t="s">
        <v>258</v>
      </c>
      <c r="M257" t="s">
        <v>258</v>
      </c>
      <c r="N257" t="s">
        <v>258</v>
      </c>
      <c r="O257" t="s">
        <v>258</v>
      </c>
      <c r="P257" t="s">
        <v>262</v>
      </c>
    </row>
    <row r="258" spans="2:16" x14ac:dyDescent="0.2">
      <c r="B258" t="s">
        <v>230</v>
      </c>
      <c r="C258" t="str">
        <f t="shared" ref="C258:C321" si="4">CONCATENATE(E258,"_",F258, "-", B258)</f>
        <v>Onycothechus_tricornigeris-id-38</v>
      </c>
      <c r="E258" t="s">
        <v>231</v>
      </c>
      <c r="F258" t="s">
        <v>232</v>
      </c>
      <c r="G258" t="s">
        <v>233</v>
      </c>
      <c r="H258" t="s">
        <v>18</v>
      </c>
      <c r="I258" t="s">
        <v>234</v>
      </c>
      <c r="J258">
        <v>1692</v>
      </c>
      <c r="K258" t="s">
        <v>77</v>
      </c>
      <c r="L258">
        <v>505</v>
      </c>
      <c r="M258" t="s">
        <v>121</v>
      </c>
      <c r="N258">
        <v>121</v>
      </c>
      <c r="O258" t="s">
        <v>235</v>
      </c>
      <c r="P258" t="s">
        <v>23</v>
      </c>
    </row>
    <row r="259" spans="2:16" x14ac:dyDescent="0.2">
      <c r="B259" t="s">
        <v>677</v>
      </c>
      <c r="C259" t="str">
        <f t="shared" si="4"/>
        <v>Orphninae_sp1   -id-132</v>
      </c>
      <c r="E259" t="s">
        <v>678</v>
      </c>
      <c r="F259" t="s">
        <v>455</v>
      </c>
      <c r="G259" t="s">
        <v>679</v>
      </c>
      <c r="H259" t="s">
        <v>442</v>
      </c>
      <c r="I259" t="s">
        <v>680</v>
      </c>
      <c r="J259">
        <v>1135</v>
      </c>
      <c r="K259" t="s">
        <v>77</v>
      </c>
      <c r="L259">
        <v>507</v>
      </c>
      <c r="M259" t="s">
        <v>21</v>
      </c>
      <c r="N259">
        <v>35</v>
      </c>
      <c r="O259" t="s">
        <v>681</v>
      </c>
    </row>
    <row r="260" spans="2:16" x14ac:dyDescent="0.2">
      <c r="B260" t="s">
        <v>384</v>
      </c>
      <c r="C260" t="str">
        <f t="shared" si="4"/>
        <v>Oryctes_borbonicus-id-71</v>
      </c>
      <c r="E260" t="s">
        <v>385</v>
      </c>
      <c r="F260" t="s">
        <v>353</v>
      </c>
      <c r="G260" t="s">
        <v>258</v>
      </c>
      <c r="H260" t="s">
        <v>259</v>
      </c>
      <c r="I260" t="s">
        <v>386</v>
      </c>
      <c r="J260">
        <v>162</v>
      </c>
      <c r="K260" t="s">
        <v>261</v>
      </c>
      <c r="L260" t="s">
        <v>258</v>
      </c>
      <c r="M260" t="s">
        <v>258</v>
      </c>
      <c r="N260" t="s">
        <v>258</v>
      </c>
      <c r="O260" t="s">
        <v>258</v>
      </c>
      <c r="P260" t="s">
        <v>262</v>
      </c>
    </row>
    <row r="261" spans="2:16" x14ac:dyDescent="0.2">
      <c r="B261" t="s">
        <v>387</v>
      </c>
      <c r="C261" t="str">
        <f t="shared" si="4"/>
        <v>Oryctes_rhinoceros-id-72</v>
      </c>
      <c r="E261" t="s">
        <v>385</v>
      </c>
      <c r="F261" t="s">
        <v>388</v>
      </c>
      <c r="G261" t="s">
        <v>258</v>
      </c>
      <c r="H261" t="s">
        <v>259</v>
      </c>
      <c r="I261" t="s">
        <v>389</v>
      </c>
      <c r="J261">
        <v>164</v>
      </c>
      <c r="K261" t="s">
        <v>261</v>
      </c>
      <c r="L261" t="s">
        <v>258</v>
      </c>
      <c r="M261" t="s">
        <v>258</v>
      </c>
      <c r="N261" t="s">
        <v>258</v>
      </c>
      <c r="O261" t="s">
        <v>258</v>
      </c>
      <c r="P261" t="s">
        <v>262</v>
      </c>
    </row>
    <row r="262" spans="2:16" x14ac:dyDescent="0.2">
      <c r="B262" t="s">
        <v>721</v>
      </c>
      <c r="C262" t="str">
        <f t="shared" si="4"/>
        <v>Pachylomera_femoralis   -id-141</v>
      </c>
      <c r="E262" t="s">
        <v>722</v>
      </c>
      <c r="F262" t="s">
        <v>723</v>
      </c>
      <c r="G262" t="s">
        <v>724</v>
      </c>
      <c r="H262" t="s">
        <v>442</v>
      </c>
      <c r="I262" t="s">
        <v>725</v>
      </c>
      <c r="J262">
        <v>1731</v>
      </c>
      <c r="K262" t="s">
        <v>77</v>
      </c>
      <c r="L262">
        <v>507</v>
      </c>
      <c r="M262" t="s">
        <v>21</v>
      </c>
      <c r="N262">
        <v>51</v>
      </c>
      <c r="O262" t="s">
        <v>726</v>
      </c>
    </row>
    <row r="263" spans="2:16" x14ac:dyDescent="0.2">
      <c r="B263" t="s">
        <v>747</v>
      </c>
      <c r="C263" t="str">
        <f t="shared" si="4"/>
        <v>Pachysoma_hippocrates   -id-146</v>
      </c>
      <c r="E263" t="s">
        <v>748</v>
      </c>
      <c r="F263" t="s">
        <v>749</v>
      </c>
      <c r="G263" t="s">
        <v>750</v>
      </c>
      <c r="H263" t="s">
        <v>442</v>
      </c>
      <c r="I263" t="s">
        <v>751</v>
      </c>
      <c r="J263">
        <v>1171</v>
      </c>
      <c r="K263" t="s">
        <v>77</v>
      </c>
      <c r="L263">
        <v>507</v>
      </c>
      <c r="M263" t="s">
        <v>21</v>
      </c>
      <c r="N263">
        <v>10</v>
      </c>
      <c r="O263" t="s">
        <v>510</v>
      </c>
    </row>
    <row r="264" spans="2:16" x14ac:dyDescent="0.2">
      <c r="B264" t="s">
        <v>1492</v>
      </c>
      <c r="C264" t="str">
        <f t="shared" si="4"/>
        <v>Panelus_rhodesiensis   -id-315</v>
      </c>
      <c r="E264" t="s">
        <v>1493</v>
      </c>
      <c r="F264" t="s">
        <v>1494</v>
      </c>
      <c r="G264" t="s">
        <v>1495</v>
      </c>
      <c r="H264" t="s">
        <v>442</v>
      </c>
      <c r="I264" t="s">
        <v>1496</v>
      </c>
      <c r="J264">
        <v>1681</v>
      </c>
      <c r="K264" t="s">
        <v>77</v>
      </c>
      <c r="L264">
        <v>505</v>
      </c>
      <c r="M264" t="s">
        <v>121</v>
      </c>
      <c r="N264">
        <v>144</v>
      </c>
      <c r="O264" t="s">
        <v>168</v>
      </c>
    </row>
    <row r="265" spans="2:16" x14ac:dyDescent="0.2">
      <c r="B265" t="s">
        <v>1497</v>
      </c>
      <c r="C265" t="str">
        <f t="shared" si="4"/>
        <v>Panelus_sp3   -id-316</v>
      </c>
      <c r="E265" t="s">
        <v>1493</v>
      </c>
      <c r="F265" t="s">
        <v>846</v>
      </c>
      <c r="G265" t="s">
        <v>1498</v>
      </c>
      <c r="H265" t="s">
        <v>442</v>
      </c>
      <c r="I265" t="s">
        <v>1499</v>
      </c>
      <c r="J265">
        <v>1900</v>
      </c>
      <c r="K265" t="s">
        <v>77</v>
      </c>
      <c r="L265">
        <v>505</v>
      </c>
      <c r="M265" t="s">
        <v>121</v>
      </c>
      <c r="N265">
        <v>145</v>
      </c>
      <c r="O265" t="s">
        <v>1500</v>
      </c>
    </row>
    <row r="266" spans="2:16" x14ac:dyDescent="0.2">
      <c r="B266" t="s">
        <v>858</v>
      </c>
      <c r="C266" t="str">
        <f t="shared" si="4"/>
        <v>Paragymnopleurus_sp   -id-168</v>
      </c>
      <c r="E266" t="s">
        <v>859</v>
      </c>
      <c r="F266" t="s">
        <v>526</v>
      </c>
      <c r="G266" t="s">
        <v>860</v>
      </c>
      <c r="H266" t="s">
        <v>442</v>
      </c>
      <c r="I266" t="s">
        <v>861</v>
      </c>
      <c r="J266">
        <v>839</v>
      </c>
      <c r="K266" t="s">
        <v>77</v>
      </c>
      <c r="L266">
        <v>501</v>
      </c>
      <c r="M266" t="s">
        <v>48</v>
      </c>
      <c r="N266">
        <v>108</v>
      </c>
      <c r="O266" t="s">
        <v>862</v>
      </c>
    </row>
    <row r="267" spans="2:16" x14ac:dyDescent="0.2">
      <c r="B267" t="s">
        <v>1264</v>
      </c>
      <c r="C267" t="str">
        <f t="shared" si="4"/>
        <v>Paragymnopleurus_sp   -id-259</v>
      </c>
      <c r="E267" t="s">
        <v>859</v>
      </c>
      <c r="F267" t="s">
        <v>526</v>
      </c>
      <c r="G267" t="s">
        <v>1265</v>
      </c>
      <c r="H267" t="s">
        <v>442</v>
      </c>
      <c r="I267" t="s">
        <v>1266</v>
      </c>
      <c r="J267">
        <v>779</v>
      </c>
      <c r="K267" t="s">
        <v>77</v>
      </c>
      <c r="L267">
        <v>1102</v>
      </c>
      <c r="M267" t="s">
        <v>59</v>
      </c>
      <c r="N267">
        <v>14</v>
      </c>
      <c r="O267" t="s">
        <v>1267</v>
      </c>
    </row>
    <row r="268" spans="2:16" x14ac:dyDescent="0.2">
      <c r="B268" t="s">
        <v>925</v>
      </c>
      <c r="C268" t="str">
        <f t="shared" si="4"/>
        <v>Paraphytus_cf hindu  -id-183</v>
      </c>
      <c r="E268" t="s">
        <v>926</v>
      </c>
      <c r="F268" t="s">
        <v>927</v>
      </c>
      <c r="G268" t="s">
        <v>928</v>
      </c>
      <c r="H268" t="s">
        <v>442</v>
      </c>
      <c r="I268" t="s">
        <v>929</v>
      </c>
      <c r="J268">
        <v>446</v>
      </c>
      <c r="K268" t="s">
        <v>77</v>
      </c>
      <c r="L268">
        <v>501</v>
      </c>
      <c r="M268" t="s">
        <v>48</v>
      </c>
      <c r="N268">
        <v>138</v>
      </c>
      <c r="O268" t="s">
        <v>930</v>
      </c>
    </row>
    <row r="269" spans="2:16" x14ac:dyDescent="0.2">
      <c r="B269" t="s">
        <v>1116</v>
      </c>
      <c r="C269" t="str">
        <f t="shared" si="4"/>
        <v>Parascatonomus_anceyi   -id-224</v>
      </c>
      <c r="E269" t="s">
        <v>1117</v>
      </c>
      <c r="F269" t="s">
        <v>1118</v>
      </c>
      <c r="G269" t="s">
        <v>1119</v>
      </c>
      <c r="H269" t="s">
        <v>442</v>
      </c>
      <c r="I269" t="s">
        <v>1120</v>
      </c>
      <c r="J269">
        <v>2540</v>
      </c>
      <c r="K269" t="s">
        <v>77</v>
      </c>
      <c r="L269">
        <v>1102</v>
      </c>
      <c r="M269" t="s">
        <v>59</v>
      </c>
      <c r="N269">
        <v>39</v>
      </c>
      <c r="O269" t="s">
        <v>554</v>
      </c>
    </row>
    <row r="270" spans="2:16" x14ac:dyDescent="0.2">
      <c r="B270" t="s">
        <v>1162</v>
      </c>
      <c r="C270" t="str">
        <f t="shared" si="4"/>
        <v>Pedaria_sp   -id-235</v>
      </c>
      <c r="E270" t="s">
        <v>459</v>
      </c>
      <c r="F270" t="s">
        <v>526</v>
      </c>
      <c r="G270" t="s">
        <v>1163</v>
      </c>
      <c r="H270" t="s">
        <v>442</v>
      </c>
      <c r="I270" t="s">
        <v>1164</v>
      </c>
      <c r="J270">
        <v>2277</v>
      </c>
      <c r="K270" t="s">
        <v>77</v>
      </c>
      <c r="L270">
        <v>1102</v>
      </c>
      <c r="M270" t="s">
        <v>59</v>
      </c>
      <c r="N270">
        <v>62</v>
      </c>
      <c r="O270" t="s">
        <v>1165</v>
      </c>
    </row>
    <row r="271" spans="2:16" x14ac:dyDescent="0.2">
      <c r="B271" t="s">
        <v>458</v>
      </c>
      <c r="C271" t="str">
        <f t="shared" si="4"/>
        <v>Pedaria_sp1   -id-88</v>
      </c>
      <c r="E271" t="s">
        <v>459</v>
      </c>
      <c r="F271" t="s">
        <v>455</v>
      </c>
      <c r="G271" t="s">
        <v>460</v>
      </c>
      <c r="H271" t="s">
        <v>442</v>
      </c>
      <c r="I271" t="s">
        <v>461</v>
      </c>
      <c r="J271">
        <v>2029</v>
      </c>
      <c r="K271" t="s">
        <v>77</v>
      </c>
      <c r="L271">
        <v>504</v>
      </c>
      <c r="M271" t="s">
        <v>78</v>
      </c>
      <c r="N271">
        <v>11</v>
      </c>
      <c r="O271" t="s">
        <v>462</v>
      </c>
    </row>
    <row r="272" spans="2:16" x14ac:dyDescent="0.2">
      <c r="B272" t="s">
        <v>1332</v>
      </c>
      <c r="C272" t="str">
        <f t="shared" si="4"/>
        <v>Pedaria_sp2   -id-275</v>
      </c>
      <c r="E272" t="s">
        <v>459</v>
      </c>
      <c r="F272" t="s">
        <v>478</v>
      </c>
      <c r="G272" t="s">
        <v>1333</v>
      </c>
      <c r="H272" t="s">
        <v>442</v>
      </c>
      <c r="I272" t="s">
        <v>1334</v>
      </c>
      <c r="J272">
        <v>868</v>
      </c>
      <c r="K272" t="s">
        <v>77</v>
      </c>
      <c r="L272">
        <v>506</v>
      </c>
      <c r="M272" t="s">
        <v>196</v>
      </c>
      <c r="N272">
        <v>140</v>
      </c>
      <c r="O272" t="s">
        <v>939</v>
      </c>
    </row>
    <row r="273" spans="2:16" x14ac:dyDescent="0.2">
      <c r="B273" t="s">
        <v>666</v>
      </c>
      <c r="C273" t="str">
        <f t="shared" si="4"/>
        <v>Phalops_flavocinctus   -id-130</v>
      </c>
      <c r="E273" t="s">
        <v>667</v>
      </c>
      <c r="F273" t="s">
        <v>668</v>
      </c>
      <c r="G273" t="s">
        <v>669</v>
      </c>
      <c r="H273" t="s">
        <v>442</v>
      </c>
      <c r="I273" t="s">
        <v>670</v>
      </c>
      <c r="J273">
        <v>2420</v>
      </c>
      <c r="K273" t="s">
        <v>77</v>
      </c>
      <c r="L273">
        <v>507</v>
      </c>
      <c r="M273" t="s">
        <v>21</v>
      </c>
      <c r="N273">
        <v>21</v>
      </c>
      <c r="O273" t="s">
        <v>671</v>
      </c>
    </row>
    <row r="274" spans="2:16" x14ac:dyDescent="0.2">
      <c r="B274" t="s">
        <v>390</v>
      </c>
      <c r="C274" t="str">
        <f t="shared" si="4"/>
        <v>Phanaeus_dejeani-id-73</v>
      </c>
      <c r="E274" t="s">
        <v>391</v>
      </c>
      <c r="F274" t="s">
        <v>392</v>
      </c>
      <c r="G274" t="s">
        <v>393</v>
      </c>
      <c r="H274" t="s">
        <v>259</v>
      </c>
      <c r="I274" t="s">
        <v>394</v>
      </c>
      <c r="J274">
        <v>2026</v>
      </c>
      <c r="K274" t="s">
        <v>77</v>
      </c>
      <c r="L274">
        <v>507</v>
      </c>
      <c r="M274" t="s">
        <v>21</v>
      </c>
      <c r="N274">
        <v>74</v>
      </c>
      <c r="O274" t="s">
        <v>395</v>
      </c>
      <c r="P274" t="s">
        <v>23</v>
      </c>
    </row>
    <row r="275" spans="2:16" x14ac:dyDescent="0.2">
      <c r="B275" t="s">
        <v>396</v>
      </c>
      <c r="C275" t="str">
        <f t="shared" si="4"/>
        <v>Popillia_japonica-id-74</v>
      </c>
      <c r="E275" t="s">
        <v>397</v>
      </c>
      <c r="F275" t="s">
        <v>398</v>
      </c>
      <c r="G275" t="s">
        <v>258</v>
      </c>
      <c r="H275" t="s">
        <v>259</v>
      </c>
      <c r="I275" t="s">
        <v>399</v>
      </c>
      <c r="J275">
        <v>150</v>
      </c>
      <c r="K275" t="s">
        <v>261</v>
      </c>
      <c r="L275" t="s">
        <v>258</v>
      </c>
      <c r="M275" t="s">
        <v>258</v>
      </c>
      <c r="N275" t="s">
        <v>258</v>
      </c>
      <c r="O275" t="s">
        <v>258</v>
      </c>
      <c r="P275" t="s">
        <v>262</v>
      </c>
    </row>
    <row r="276" spans="2:16" x14ac:dyDescent="0.2">
      <c r="B276" t="s">
        <v>737</v>
      </c>
      <c r="C276" t="str">
        <f t="shared" si="4"/>
        <v>Proagoderus_cf lanista  -id-144</v>
      </c>
      <c r="E276" t="s">
        <v>616</v>
      </c>
      <c r="F276" t="s">
        <v>738</v>
      </c>
      <c r="G276" t="s">
        <v>739</v>
      </c>
      <c r="H276" t="s">
        <v>442</v>
      </c>
      <c r="I276" t="s">
        <v>740</v>
      </c>
      <c r="J276">
        <v>2645</v>
      </c>
      <c r="K276" t="s">
        <v>77</v>
      </c>
      <c r="L276">
        <v>507</v>
      </c>
      <c r="M276" t="s">
        <v>21</v>
      </c>
      <c r="N276">
        <v>12</v>
      </c>
      <c r="O276" t="s">
        <v>741</v>
      </c>
    </row>
    <row r="277" spans="2:16" x14ac:dyDescent="0.2">
      <c r="B277" t="s">
        <v>615</v>
      </c>
      <c r="C277" t="str">
        <f t="shared" si="4"/>
        <v>Proagoderus_sapphirinus   -id-120</v>
      </c>
      <c r="E277" t="s">
        <v>616</v>
      </c>
      <c r="F277" t="s">
        <v>617</v>
      </c>
      <c r="G277" t="s">
        <v>618</v>
      </c>
      <c r="H277" t="s">
        <v>442</v>
      </c>
      <c r="I277" t="s">
        <v>619</v>
      </c>
      <c r="J277">
        <v>2525</v>
      </c>
      <c r="K277" t="s">
        <v>77</v>
      </c>
      <c r="L277">
        <v>507</v>
      </c>
      <c r="M277" t="s">
        <v>21</v>
      </c>
      <c r="N277">
        <v>70</v>
      </c>
      <c r="O277" t="s">
        <v>620</v>
      </c>
    </row>
    <row r="278" spans="2:16" x14ac:dyDescent="0.2">
      <c r="B278" t="s">
        <v>400</v>
      </c>
      <c r="C278" t="str">
        <f t="shared" si="4"/>
        <v>Protaetia_brevitarsis-id-75</v>
      </c>
      <c r="E278" t="s">
        <v>401</v>
      </c>
      <c r="F278" t="s">
        <v>402</v>
      </c>
      <c r="G278" t="s">
        <v>258</v>
      </c>
      <c r="H278" t="s">
        <v>259</v>
      </c>
      <c r="I278" t="s">
        <v>403</v>
      </c>
      <c r="J278">
        <v>66</v>
      </c>
      <c r="K278" t="s">
        <v>261</v>
      </c>
      <c r="L278" t="s">
        <v>258</v>
      </c>
      <c r="M278" t="s">
        <v>258</v>
      </c>
      <c r="N278" t="s">
        <v>258</v>
      </c>
      <c r="O278" t="s">
        <v>258</v>
      </c>
      <c r="P278" t="s">
        <v>262</v>
      </c>
    </row>
    <row r="279" spans="2:16" x14ac:dyDescent="0.2">
      <c r="B279" t="s">
        <v>787</v>
      </c>
      <c r="C279" t="str">
        <f t="shared" si="4"/>
        <v>Pycnopanelus_krikkeni   -id-154</v>
      </c>
      <c r="E279" t="s">
        <v>788</v>
      </c>
      <c r="F279" t="s">
        <v>789</v>
      </c>
      <c r="G279" t="s">
        <v>790</v>
      </c>
      <c r="H279" t="s">
        <v>442</v>
      </c>
      <c r="I279" t="s">
        <v>791</v>
      </c>
      <c r="J279">
        <v>2266</v>
      </c>
      <c r="K279" t="s">
        <v>77</v>
      </c>
      <c r="L279">
        <v>507</v>
      </c>
      <c r="M279" t="s">
        <v>21</v>
      </c>
      <c r="N279">
        <v>73</v>
      </c>
      <c r="O279" t="s">
        <v>792</v>
      </c>
    </row>
    <row r="280" spans="2:16" x14ac:dyDescent="0.2">
      <c r="B280" t="s">
        <v>203</v>
      </c>
      <c r="C280" t="str">
        <f t="shared" si="4"/>
        <v>Sarophorus_costatus-id-33</v>
      </c>
      <c r="E280" t="s">
        <v>204</v>
      </c>
      <c r="F280" t="s">
        <v>205</v>
      </c>
      <c r="G280" t="s">
        <v>206</v>
      </c>
      <c r="H280" t="s">
        <v>18</v>
      </c>
      <c r="I280" t="s">
        <v>207</v>
      </c>
      <c r="J280">
        <v>1443</v>
      </c>
      <c r="K280" t="s">
        <v>77</v>
      </c>
      <c r="L280">
        <v>506</v>
      </c>
      <c r="M280" t="s">
        <v>196</v>
      </c>
      <c r="N280">
        <v>173</v>
      </c>
      <c r="O280" t="s">
        <v>208</v>
      </c>
      <c r="P280" t="s">
        <v>23</v>
      </c>
    </row>
    <row r="281" spans="2:16" x14ac:dyDescent="0.2">
      <c r="B281" t="s">
        <v>408</v>
      </c>
      <c r="C281" t="str">
        <f t="shared" si="4"/>
        <v>Sarophorus_costatus-id-77</v>
      </c>
      <c r="E281" t="s">
        <v>204</v>
      </c>
      <c r="F281" t="s">
        <v>205</v>
      </c>
      <c r="G281" t="s">
        <v>409</v>
      </c>
      <c r="H281" t="s">
        <v>259</v>
      </c>
      <c r="I281" t="s">
        <v>410</v>
      </c>
      <c r="J281">
        <v>2383</v>
      </c>
      <c r="K281" t="s">
        <v>261</v>
      </c>
      <c r="L281" t="s">
        <v>258</v>
      </c>
      <c r="M281" t="s">
        <v>258</v>
      </c>
      <c r="N281" t="s">
        <v>258</v>
      </c>
      <c r="O281" t="s">
        <v>258</v>
      </c>
      <c r="P281" t="s">
        <v>262</v>
      </c>
    </row>
    <row r="282" spans="2:16" x14ac:dyDescent="0.2">
      <c r="B282" t="s">
        <v>404</v>
      </c>
      <c r="C282" t="str">
        <f t="shared" si="4"/>
        <v>Sarrophorus_costatus-id-76</v>
      </c>
      <c r="E282" t="s">
        <v>405</v>
      </c>
      <c r="F282" t="s">
        <v>205</v>
      </c>
      <c r="G282" t="s">
        <v>406</v>
      </c>
      <c r="H282" t="s">
        <v>259</v>
      </c>
      <c r="I282" t="s">
        <v>407</v>
      </c>
      <c r="J282">
        <v>2304</v>
      </c>
      <c r="K282" t="s">
        <v>261</v>
      </c>
      <c r="L282" t="s">
        <v>258</v>
      </c>
      <c r="M282" t="s">
        <v>258</v>
      </c>
      <c r="N282" t="s">
        <v>258</v>
      </c>
      <c r="O282" t="s">
        <v>258</v>
      </c>
      <c r="P282" t="s">
        <v>262</v>
      </c>
    </row>
    <row r="283" spans="2:16" x14ac:dyDescent="0.2">
      <c r="B283" t="s">
        <v>702</v>
      </c>
      <c r="C283" t="str">
        <f t="shared" si="4"/>
        <v>Scaptocnemis_segregis   -id-137</v>
      </c>
      <c r="E283" t="s">
        <v>703</v>
      </c>
      <c r="F283" t="s">
        <v>704</v>
      </c>
      <c r="G283" t="s">
        <v>705</v>
      </c>
      <c r="H283" t="s">
        <v>442</v>
      </c>
      <c r="I283" t="s">
        <v>706</v>
      </c>
      <c r="J283">
        <v>2253</v>
      </c>
      <c r="K283" t="s">
        <v>77</v>
      </c>
      <c r="L283">
        <v>507</v>
      </c>
      <c r="M283" t="s">
        <v>21</v>
      </c>
      <c r="N283">
        <v>78</v>
      </c>
      <c r="O283" t="s">
        <v>707</v>
      </c>
    </row>
    <row r="284" spans="2:16" x14ac:dyDescent="0.2">
      <c r="B284" t="s">
        <v>1129</v>
      </c>
      <c r="C284" t="str">
        <f t="shared" si="4"/>
        <v>Scarabaeolus_intricatus   -id-227</v>
      </c>
      <c r="E284" t="s">
        <v>1130</v>
      </c>
      <c r="F284" t="s">
        <v>1131</v>
      </c>
      <c r="G284" t="s">
        <v>1132</v>
      </c>
      <c r="H284" t="s">
        <v>442</v>
      </c>
      <c r="I284" t="s">
        <v>1133</v>
      </c>
      <c r="J284">
        <v>2095</v>
      </c>
      <c r="K284" t="s">
        <v>77</v>
      </c>
      <c r="L284">
        <v>1102</v>
      </c>
      <c r="M284" t="s">
        <v>59</v>
      </c>
      <c r="N284">
        <v>63</v>
      </c>
      <c r="O284" t="s">
        <v>28</v>
      </c>
    </row>
    <row r="285" spans="2:16" x14ac:dyDescent="0.2">
      <c r="B285" t="s">
        <v>708</v>
      </c>
      <c r="C285" t="str">
        <f t="shared" si="4"/>
        <v>Scarabaeus_n sp1  -id-138</v>
      </c>
      <c r="E285" t="s">
        <v>93</v>
      </c>
      <c r="F285" t="s">
        <v>709</v>
      </c>
      <c r="G285" t="s">
        <v>710</v>
      </c>
      <c r="H285" t="s">
        <v>442</v>
      </c>
      <c r="I285" t="s">
        <v>711</v>
      </c>
      <c r="J285">
        <v>1661</v>
      </c>
      <c r="K285" t="s">
        <v>77</v>
      </c>
      <c r="L285">
        <v>507</v>
      </c>
      <c r="M285" t="s">
        <v>21</v>
      </c>
      <c r="N285">
        <v>45</v>
      </c>
      <c r="O285" t="s">
        <v>506</v>
      </c>
    </row>
    <row r="286" spans="2:16" x14ac:dyDescent="0.2">
      <c r="B286" t="s">
        <v>92</v>
      </c>
      <c r="C286" t="str">
        <f t="shared" si="4"/>
        <v>Scarabaeus_westwoodi-id-14</v>
      </c>
      <c r="E286" t="s">
        <v>93</v>
      </c>
      <c r="F286" t="s">
        <v>94</v>
      </c>
      <c r="G286" t="s">
        <v>95</v>
      </c>
      <c r="H286" t="s">
        <v>18</v>
      </c>
      <c r="I286" t="s">
        <v>96</v>
      </c>
      <c r="J286">
        <v>1758</v>
      </c>
      <c r="K286" t="s">
        <v>77</v>
      </c>
      <c r="L286">
        <v>504</v>
      </c>
      <c r="M286" t="s">
        <v>78</v>
      </c>
      <c r="N286">
        <v>111</v>
      </c>
      <c r="O286" t="s">
        <v>97</v>
      </c>
      <c r="P286" t="s">
        <v>23</v>
      </c>
    </row>
    <row r="287" spans="2:16" x14ac:dyDescent="0.2">
      <c r="B287" t="s">
        <v>682</v>
      </c>
      <c r="C287" t="str">
        <f t="shared" si="4"/>
        <v>Sceliages_hippias   -id-133</v>
      </c>
      <c r="E287" t="s">
        <v>81</v>
      </c>
      <c r="F287" t="s">
        <v>683</v>
      </c>
      <c r="G287" t="s">
        <v>684</v>
      </c>
      <c r="H287" t="s">
        <v>442</v>
      </c>
      <c r="I287" t="s">
        <v>685</v>
      </c>
      <c r="J287">
        <v>1084</v>
      </c>
      <c r="K287" t="s">
        <v>77</v>
      </c>
      <c r="L287">
        <v>507</v>
      </c>
      <c r="M287" t="s">
        <v>21</v>
      </c>
      <c r="N287">
        <v>44</v>
      </c>
      <c r="O287" t="s">
        <v>686</v>
      </c>
    </row>
    <row r="288" spans="2:16" x14ac:dyDescent="0.2">
      <c r="B288" t="s">
        <v>80</v>
      </c>
      <c r="C288" t="str">
        <f t="shared" si="4"/>
        <v>Sceliages_hippias-id-12</v>
      </c>
      <c r="E288" t="s">
        <v>81</v>
      </c>
      <c r="F288" t="s">
        <v>82</v>
      </c>
      <c r="G288" t="s">
        <v>83</v>
      </c>
      <c r="H288" t="s">
        <v>18</v>
      </c>
      <c r="I288" t="s">
        <v>84</v>
      </c>
      <c r="J288">
        <v>1753</v>
      </c>
      <c r="K288" t="s">
        <v>77</v>
      </c>
      <c r="L288">
        <v>504</v>
      </c>
      <c r="M288" t="s">
        <v>78</v>
      </c>
      <c r="N288">
        <v>102</v>
      </c>
      <c r="O288" t="s">
        <v>85</v>
      </c>
      <c r="P288" t="s">
        <v>23</v>
      </c>
    </row>
    <row r="289" spans="2:16" x14ac:dyDescent="0.2">
      <c r="B289" t="s">
        <v>411</v>
      </c>
      <c r="C289" t="str">
        <f t="shared" si="4"/>
        <v>Semanopterus_sp-id-78</v>
      </c>
      <c r="E289" t="s">
        <v>412</v>
      </c>
      <c r="F289" t="s">
        <v>265</v>
      </c>
      <c r="G289" t="s">
        <v>413</v>
      </c>
      <c r="H289" t="s">
        <v>259</v>
      </c>
      <c r="I289" t="s">
        <v>414</v>
      </c>
      <c r="J289">
        <v>1386</v>
      </c>
      <c r="K289" t="s">
        <v>77</v>
      </c>
      <c r="L289">
        <v>504</v>
      </c>
      <c r="M289" t="s">
        <v>78</v>
      </c>
      <c r="N289">
        <v>172</v>
      </c>
      <c r="O289" t="s">
        <v>415</v>
      </c>
      <c r="P289" t="s">
        <v>23</v>
      </c>
    </row>
    <row r="290" spans="2:16" x14ac:dyDescent="0.2">
      <c r="B290" t="s">
        <v>1415</v>
      </c>
      <c r="C290" t="str">
        <f t="shared" si="4"/>
        <v>Sisyphini_sp morpho 10 -id-295</v>
      </c>
      <c r="E290" t="s">
        <v>1402</v>
      </c>
      <c r="F290" t="s">
        <v>1416</v>
      </c>
      <c r="G290" t="s">
        <v>1417</v>
      </c>
      <c r="H290" t="s">
        <v>442</v>
      </c>
      <c r="I290" t="s">
        <v>1418</v>
      </c>
      <c r="J290">
        <v>1634</v>
      </c>
      <c r="K290" t="s">
        <v>77</v>
      </c>
      <c r="L290">
        <v>505</v>
      </c>
      <c r="M290" t="s">
        <v>121</v>
      </c>
      <c r="N290">
        <v>117</v>
      </c>
      <c r="O290" t="s">
        <v>437</v>
      </c>
    </row>
    <row r="291" spans="2:16" x14ac:dyDescent="0.2">
      <c r="B291" t="s">
        <v>1401</v>
      </c>
      <c r="C291" t="str">
        <f t="shared" si="4"/>
        <v>Sisyphini_sp morpho1  -id-292</v>
      </c>
      <c r="E291" t="s">
        <v>1402</v>
      </c>
      <c r="F291" t="s">
        <v>1403</v>
      </c>
      <c r="G291" t="s">
        <v>1404</v>
      </c>
      <c r="H291" t="s">
        <v>442</v>
      </c>
      <c r="I291" t="s">
        <v>1405</v>
      </c>
      <c r="J291">
        <v>1793</v>
      </c>
      <c r="K291" t="s">
        <v>77</v>
      </c>
      <c r="L291">
        <v>505</v>
      </c>
      <c r="M291" t="s">
        <v>121</v>
      </c>
      <c r="N291">
        <v>113</v>
      </c>
      <c r="O291" t="s">
        <v>1406</v>
      </c>
    </row>
    <row r="292" spans="2:16" x14ac:dyDescent="0.2">
      <c r="B292" t="s">
        <v>1407</v>
      </c>
      <c r="C292" t="str">
        <f t="shared" si="4"/>
        <v>Sisyphini_sp morpho6  -id-293</v>
      </c>
      <c r="E292" t="s">
        <v>1402</v>
      </c>
      <c r="F292" t="s">
        <v>1408</v>
      </c>
      <c r="G292" t="s">
        <v>1409</v>
      </c>
      <c r="H292" t="s">
        <v>442</v>
      </c>
      <c r="I292" t="s">
        <v>1410</v>
      </c>
      <c r="J292">
        <v>1016</v>
      </c>
      <c r="K292" t="s">
        <v>77</v>
      </c>
      <c r="L292">
        <v>505</v>
      </c>
      <c r="M292" t="s">
        <v>121</v>
      </c>
      <c r="N292">
        <v>115</v>
      </c>
      <c r="O292" t="s">
        <v>876</v>
      </c>
    </row>
    <row r="293" spans="2:16" x14ac:dyDescent="0.2">
      <c r="B293" t="s">
        <v>1411</v>
      </c>
      <c r="C293" t="str">
        <f t="shared" si="4"/>
        <v>Sisyphini_sp morpho8  -id-294</v>
      </c>
      <c r="E293" t="s">
        <v>1402</v>
      </c>
      <c r="F293" t="s">
        <v>1412</v>
      </c>
      <c r="G293" t="s">
        <v>1413</v>
      </c>
      <c r="H293" t="s">
        <v>442</v>
      </c>
      <c r="I293" t="s">
        <v>1414</v>
      </c>
      <c r="J293">
        <v>1792</v>
      </c>
      <c r="K293" t="s">
        <v>77</v>
      </c>
      <c r="L293">
        <v>505</v>
      </c>
      <c r="M293" t="s">
        <v>121</v>
      </c>
      <c r="N293">
        <v>116</v>
      </c>
      <c r="O293" t="s">
        <v>146</v>
      </c>
    </row>
    <row r="294" spans="2:16" x14ac:dyDescent="0.2">
      <c r="B294" t="s">
        <v>1372</v>
      </c>
      <c r="C294" t="str">
        <f t="shared" si="4"/>
        <v>Sisyphus (Neosisyphus) _barbarossa  -id-285</v>
      </c>
      <c r="E294" t="s">
        <v>221</v>
      </c>
      <c r="F294" t="s">
        <v>1373</v>
      </c>
      <c r="G294" t="s">
        <v>1374</v>
      </c>
      <c r="H294" t="s">
        <v>442</v>
      </c>
      <c r="I294" t="s">
        <v>1375</v>
      </c>
      <c r="J294">
        <v>1680</v>
      </c>
      <c r="K294" t="s">
        <v>77</v>
      </c>
      <c r="L294">
        <v>505</v>
      </c>
      <c r="M294" t="s">
        <v>121</v>
      </c>
      <c r="N294">
        <v>105</v>
      </c>
      <c r="O294" t="s">
        <v>849</v>
      </c>
    </row>
    <row r="295" spans="2:16" x14ac:dyDescent="0.2">
      <c r="B295" t="s">
        <v>1380</v>
      </c>
      <c r="C295" t="str">
        <f t="shared" si="4"/>
        <v>Sisyphus (Neosisyphus) _calcaratus  -id-287</v>
      </c>
      <c r="E295" t="s">
        <v>221</v>
      </c>
      <c r="F295" t="s">
        <v>1381</v>
      </c>
      <c r="G295" t="s">
        <v>1382</v>
      </c>
      <c r="H295" t="s">
        <v>442</v>
      </c>
      <c r="I295" t="s">
        <v>1383</v>
      </c>
      <c r="J295">
        <v>1663</v>
      </c>
      <c r="K295" t="s">
        <v>77</v>
      </c>
      <c r="L295">
        <v>505</v>
      </c>
      <c r="M295" t="s">
        <v>121</v>
      </c>
      <c r="N295">
        <v>108</v>
      </c>
      <c r="O295" t="s">
        <v>862</v>
      </c>
    </row>
    <row r="296" spans="2:16" x14ac:dyDescent="0.2">
      <c r="B296" t="s">
        <v>1376</v>
      </c>
      <c r="C296" t="str">
        <f t="shared" si="4"/>
        <v>Sisyphus (Neosisyphus) _infuscatus  -id-286</v>
      </c>
      <c r="E296" t="s">
        <v>221</v>
      </c>
      <c r="F296" t="s">
        <v>1377</v>
      </c>
      <c r="G296" t="s">
        <v>1378</v>
      </c>
      <c r="H296" t="s">
        <v>442</v>
      </c>
      <c r="I296" t="s">
        <v>1379</v>
      </c>
      <c r="J296">
        <v>1696</v>
      </c>
      <c r="K296" t="s">
        <v>77</v>
      </c>
      <c r="L296">
        <v>505</v>
      </c>
      <c r="M296" t="s">
        <v>121</v>
      </c>
      <c r="N296">
        <v>107</v>
      </c>
      <c r="O296" t="s">
        <v>857</v>
      </c>
    </row>
    <row r="297" spans="2:16" x14ac:dyDescent="0.2">
      <c r="B297" t="s">
        <v>1388</v>
      </c>
      <c r="C297" t="str">
        <f t="shared" si="4"/>
        <v>Sisyphus (Neosisyphus) _mirabilis  -id-289</v>
      </c>
      <c r="E297" t="s">
        <v>221</v>
      </c>
      <c r="F297" t="s">
        <v>1389</v>
      </c>
      <c r="G297" t="s">
        <v>1390</v>
      </c>
      <c r="H297" t="s">
        <v>442</v>
      </c>
      <c r="I297" t="s">
        <v>1391</v>
      </c>
      <c r="J297">
        <v>1740</v>
      </c>
      <c r="K297" t="s">
        <v>77</v>
      </c>
      <c r="L297">
        <v>505</v>
      </c>
      <c r="M297" t="s">
        <v>121</v>
      </c>
      <c r="N297">
        <v>110</v>
      </c>
      <c r="O297" t="s">
        <v>1392</v>
      </c>
    </row>
    <row r="298" spans="2:16" x14ac:dyDescent="0.2">
      <c r="B298" t="s">
        <v>1384</v>
      </c>
      <c r="C298" t="str">
        <f t="shared" si="4"/>
        <v>Sisyphus (Neosisyphus) _rubrus  -id-288</v>
      </c>
      <c r="E298" t="s">
        <v>221</v>
      </c>
      <c r="F298" t="s">
        <v>1385</v>
      </c>
      <c r="G298" t="s">
        <v>1386</v>
      </c>
      <c r="H298" t="s">
        <v>442</v>
      </c>
      <c r="I298" t="s">
        <v>1387</v>
      </c>
      <c r="J298">
        <v>1771</v>
      </c>
      <c r="K298" t="s">
        <v>77</v>
      </c>
      <c r="L298">
        <v>505</v>
      </c>
      <c r="M298" t="s">
        <v>121</v>
      </c>
      <c r="N298">
        <v>109</v>
      </c>
      <c r="O298" t="s">
        <v>867</v>
      </c>
    </row>
    <row r="299" spans="2:16" x14ac:dyDescent="0.2">
      <c r="B299" t="s">
        <v>220</v>
      </c>
      <c r="C299" t="str">
        <f t="shared" si="4"/>
        <v>Sisyphus (Neosisyphus) _spinipes-id-36</v>
      </c>
      <c r="E299" t="s">
        <v>221</v>
      </c>
      <c r="F299" t="s">
        <v>222</v>
      </c>
      <c r="G299" t="s">
        <v>223</v>
      </c>
      <c r="H299" t="s">
        <v>18</v>
      </c>
      <c r="I299" t="s">
        <v>224</v>
      </c>
      <c r="J299">
        <v>1766</v>
      </c>
      <c r="K299" t="s">
        <v>77</v>
      </c>
      <c r="L299">
        <v>505</v>
      </c>
      <c r="M299" t="s">
        <v>121</v>
      </c>
      <c r="N299">
        <v>106</v>
      </c>
      <c r="O299" t="s">
        <v>128</v>
      </c>
      <c r="P299" t="s">
        <v>23</v>
      </c>
    </row>
    <row r="300" spans="2:16" x14ac:dyDescent="0.2">
      <c r="B300" t="s">
        <v>1364</v>
      </c>
      <c r="C300" t="str">
        <f t="shared" si="4"/>
        <v>Sisyphus_australis   -id-283</v>
      </c>
      <c r="E300" t="s">
        <v>216</v>
      </c>
      <c r="F300" t="s">
        <v>1365</v>
      </c>
      <c r="G300" t="s">
        <v>1366</v>
      </c>
      <c r="H300" t="s">
        <v>442</v>
      </c>
      <c r="I300" t="s">
        <v>1367</v>
      </c>
      <c r="J300">
        <v>1029</v>
      </c>
      <c r="K300" t="s">
        <v>77</v>
      </c>
      <c r="L300">
        <v>505</v>
      </c>
      <c r="M300" t="s">
        <v>121</v>
      </c>
      <c r="N300">
        <v>103</v>
      </c>
      <c r="O300" t="s">
        <v>839</v>
      </c>
    </row>
    <row r="301" spans="2:16" x14ac:dyDescent="0.2">
      <c r="B301" t="s">
        <v>1393</v>
      </c>
      <c r="C301" t="str">
        <f t="shared" si="4"/>
        <v>Sisyphus_gazanus   -id-290</v>
      </c>
      <c r="E301" t="s">
        <v>216</v>
      </c>
      <c r="F301" t="s">
        <v>1394</v>
      </c>
      <c r="G301" t="s">
        <v>1395</v>
      </c>
      <c r="H301" t="s">
        <v>442</v>
      </c>
      <c r="I301" t="s">
        <v>1396</v>
      </c>
      <c r="J301">
        <v>1459</v>
      </c>
      <c r="K301" t="s">
        <v>77</v>
      </c>
      <c r="L301">
        <v>505</v>
      </c>
      <c r="M301" t="s">
        <v>121</v>
      </c>
      <c r="N301">
        <v>111</v>
      </c>
      <c r="O301" t="s">
        <v>97</v>
      </c>
    </row>
    <row r="302" spans="2:16" x14ac:dyDescent="0.2">
      <c r="B302" t="s">
        <v>1397</v>
      </c>
      <c r="C302" t="str">
        <f t="shared" si="4"/>
        <v>Sisyphus_inconspicuus   -id-291</v>
      </c>
      <c r="E302" t="s">
        <v>216</v>
      </c>
      <c r="F302" t="s">
        <v>1398</v>
      </c>
      <c r="G302" t="s">
        <v>1399</v>
      </c>
      <c r="H302" t="s">
        <v>442</v>
      </c>
      <c r="I302" t="s">
        <v>1400</v>
      </c>
      <c r="J302">
        <v>1768</v>
      </c>
      <c r="K302" t="s">
        <v>77</v>
      </c>
      <c r="L302">
        <v>505</v>
      </c>
      <c r="M302" t="s">
        <v>121</v>
      </c>
      <c r="N302">
        <v>112</v>
      </c>
      <c r="O302" t="s">
        <v>134</v>
      </c>
    </row>
    <row r="303" spans="2:16" x14ac:dyDescent="0.2">
      <c r="B303" t="s">
        <v>1368</v>
      </c>
      <c r="C303" t="str">
        <f t="shared" si="4"/>
        <v>Sisyphus_manni   -id-284</v>
      </c>
      <c r="E303" t="s">
        <v>216</v>
      </c>
      <c r="F303" t="s">
        <v>1369</v>
      </c>
      <c r="G303" t="s">
        <v>1370</v>
      </c>
      <c r="H303" t="s">
        <v>442</v>
      </c>
      <c r="I303" t="s">
        <v>1371</v>
      </c>
      <c r="J303">
        <v>1750</v>
      </c>
      <c r="K303" t="s">
        <v>77</v>
      </c>
      <c r="L303">
        <v>505</v>
      </c>
      <c r="M303" t="s">
        <v>121</v>
      </c>
      <c r="N303">
        <v>104</v>
      </c>
      <c r="O303" t="s">
        <v>91</v>
      </c>
    </row>
    <row r="304" spans="2:16" x14ac:dyDescent="0.2">
      <c r="B304" t="s">
        <v>1356</v>
      </c>
      <c r="C304" t="str">
        <f t="shared" si="4"/>
        <v>Sisyphus_muricatus   -id-281</v>
      </c>
      <c r="E304" t="s">
        <v>216</v>
      </c>
      <c r="F304" t="s">
        <v>1357</v>
      </c>
      <c r="G304" t="s">
        <v>1358</v>
      </c>
      <c r="H304" t="s">
        <v>442</v>
      </c>
      <c r="I304" t="s">
        <v>1359</v>
      </c>
      <c r="J304">
        <v>1709</v>
      </c>
      <c r="K304" t="s">
        <v>77</v>
      </c>
      <c r="L304">
        <v>505</v>
      </c>
      <c r="M304" t="s">
        <v>121</v>
      </c>
      <c r="N304">
        <v>101</v>
      </c>
      <c r="O304" t="s">
        <v>833</v>
      </c>
    </row>
    <row r="305" spans="2:16" x14ac:dyDescent="0.2">
      <c r="B305" t="s">
        <v>244</v>
      </c>
      <c r="C305" t="str">
        <f t="shared" si="4"/>
        <v>Sisyphus_schaefferi-id-41</v>
      </c>
      <c r="E305" t="s">
        <v>216</v>
      </c>
      <c r="F305" t="s">
        <v>245</v>
      </c>
      <c r="G305" t="s">
        <v>246</v>
      </c>
      <c r="H305" t="s">
        <v>18</v>
      </c>
      <c r="I305" t="s">
        <v>247</v>
      </c>
      <c r="J305">
        <v>1755</v>
      </c>
      <c r="K305" t="s">
        <v>77</v>
      </c>
      <c r="L305">
        <v>505</v>
      </c>
      <c r="M305" t="s">
        <v>121</v>
      </c>
      <c r="N305">
        <v>133</v>
      </c>
      <c r="O305" t="s">
        <v>248</v>
      </c>
      <c r="P305" t="s">
        <v>23</v>
      </c>
    </row>
    <row r="306" spans="2:16" x14ac:dyDescent="0.2">
      <c r="B306" t="s">
        <v>215</v>
      </c>
      <c r="C306" t="str">
        <f t="shared" si="4"/>
        <v>Sisyphus_sordidus-id-35</v>
      </c>
      <c r="E306" t="s">
        <v>216</v>
      </c>
      <c r="F306" t="s">
        <v>217</v>
      </c>
      <c r="G306" t="s">
        <v>218</v>
      </c>
      <c r="H306" t="s">
        <v>18</v>
      </c>
      <c r="I306" t="s">
        <v>219</v>
      </c>
      <c r="J306">
        <v>1687</v>
      </c>
      <c r="K306" t="s">
        <v>77</v>
      </c>
      <c r="L306">
        <v>505</v>
      </c>
      <c r="M306" t="s">
        <v>121</v>
      </c>
      <c r="N306">
        <v>100</v>
      </c>
      <c r="O306" t="s">
        <v>79</v>
      </c>
      <c r="P306" t="s">
        <v>23</v>
      </c>
    </row>
    <row r="307" spans="2:16" x14ac:dyDescent="0.2">
      <c r="B307" t="s">
        <v>1360</v>
      </c>
      <c r="C307" t="str">
        <f t="shared" si="4"/>
        <v>Sisyphus_umbraphilus   -id-282</v>
      </c>
      <c r="E307" t="s">
        <v>216</v>
      </c>
      <c r="F307" t="s">
        <v>1361</v>
      </c>
      <c r="G307" t="s">
        <v>1362</v>
      </c>
      <c r="H307" t="s">
        <v>442</v>
      </c>
      <c r="I307" t="s">
        <v>1363</v>
      </c>
      <c r="J307">
        <v>1717</v>
      </c>
      <c r="K307" t="s">
        <v>77</v>
      </c>
      <c r="L307">
        <v>505</v>
      </c>
      <c r="M307" t="s">
        <v>121</v>
      </c>
      <c r="N307">
        <v>102</v>
      </c>
      <c r="O307" t="s">
        <v>85</v>
      </c>
    </row>
    <row r="308" spans="2:16" x14ac:dyDescent="0.2">
      <c r="B308" t="s">
        <v>885</v>
      </c>
      <c r="C308" t="str">
        <f t="shared" si="4"/>
        <v>Synapsis_sp   -id-174</v>
      </c>
      <c r="E308" t="s">
        <v>886</v>
      </c>
      <c r="F308" t="s">
        <v>526</v>
      </c>
      <c r="G308" t="s">
        <v>887</v>
      </c>
      <c r="H308" t="s">
        <v>442</v>
      </c>
      <c r="I308" t="s">
        <v>888</v>
      </c>
      <c r="J308">
        <v>233</v>
      </c>
      <c r="K308" t="s">
        <v>77</v>
      </c>
      <c r="L308">
        <v>501</v>
      </c>
      <c r="M308" t="s">
        <v>48</v>
      </c>
      <c r="N308">
        <v>121</v>
      </c>
      <c r="O308" t="s">
        <v>235</v>
      </c>
    </row>
    <row r="309" spans="2:16" x14ac:dyDescent="0.2">
      <c r="B309" t="s">
        <v>1482</v>
      </c>
      <c r="C309" t="str">
        <f t="shared" si="4"/>
        <v>Tanzanolus_sp1   -id-312</v>
      </c>
      <c r="E309" t="s">
        <v>1483</v>
      </c>
      <c r="F309" t="s">
        <v>455</v>
      </c>
      <c r="G309" t="s">
        <v>1484</v>
      </c>
      <c r="H309" t="s">
        <v>442</v>
      </c>
      <c r="I309" t="s">
        <v>1485</v>
      </c>
      <c r="J309">
        <v>1946</v>
      </c>
      <c r="K309" t="s">
        <v>77</v>
      </c>
      <c r="L309">
        <v>505</v>
      </c>
      <c r="M309" t="s">
        <v>121</v>
      </c>
      <c r="N309">
        <v>140</v>
      </c>
      <c r="O309" t="s">
        <v>939</v>
      </c>
    </row>
    <row r="310" spans="2:16" x14ac:dyDescent="0.2">
      <c r="B310" t="s">
        <v>1486</v>
      </c>
      <c r="C310" t="str">
        <f t="shared" si="4"/>
        <v>Tanzanolus_sp2   -id-313</v>
      </c>
      <c r="E310" t="s">
        <v>1483</v>
      </c>
      <c r="F310" t="s">
        <v>478</v>
      </c>
      <c r="G310" t="s">
        <v>1487</v>
      </c>
      <c r="H310" t="s">
        <v>442</v>
      </c>
      <c r="I310" t="s">
        <v>1488</v>
      </c>
      <c r="J310">
        <v>1884</v>
      </c>
      <c r="K310" t="s">
        <v>77</v>
      </c>
      <c r="L310">
        <v>505</v>
      </c>
      <c r="M310" t="s">
        <v>121</v>
      </c>
      <c r="N310">
        <v>141</v>
      </c>
      <c r="O310" t="s">
        <v>326</v>
      </c>
    </row>
    <row r="311" spans="2:16" x14ac:dyDescent="0.2">
      <c r="B311" t="s">
        <v>416</v>
      </c>
      <c r="C311" t="str">
        <f t="shared" si="4"/>
        <v>Temnoplectron_lewisensis-id-79</v>
      </c>
      <c r="E311" t="s">
        <v>417</v>
      </c>
      <c r="F311" t="s">
        <v>418</v>
      </c>
      <c r="G311" t="s">
        <v>258</v>
      </c>
      <c r="H311" t="s">
        <v>259</v>
      </c>
      <c r="I311" t="s">
        <v>419</v>
      </c>
      <c r="J311">
        <v>271</v>
      </c>
      <c r="K311" t="s">
        <v>261</v>
      </c>
      <c r="L311" t="s">
        <v>258</v>
      </c>
      <c r="M311" t="s">
        <v>258</v>
      </c>
      <c r="N311" t="s">
        <v>258</v>
      </c>
      <c r="O311" t="s">
        <v>258</v>
      </c>
      <c r="P311" t="s">
        <v>262</v>
      </c>
    </row>
    <row r="312" spans="2:16" x14ac:dyDescent="0.2">
      <c r="B312" t="s">
        <v>420</v>
      </c>
      <c r="C312" t="str">
        <f t="shared" si="4"/>
        <v>Thyregis_relictus-id-80</v>
      </c>
      <c r="E312" t="s">
        <v>421</v>
      </c>
      <c r="F312" t="s">
        <v>422</v>
      </c>
      <c r="G312" t="s">
        <v>258</v>
      </c>
      <c r="H312" t="s">
        <v>259</v>
      </c>
      <c r="I312" t="s">
        <v>423</v>
      </c>
      <c r="J312">
        <v>433</v>
      </c>
      <c r="K312" t="s">
        <v>261</v>
      </c>
      <c r="L312" t="s">
        <v>258</v>
      </c>
      <c r="M312" t="s">
        <v>258</v>
      </c>
      <c r="N312" t="s">
        <v>258</v>
      </c>
      <c r="O312" t="s">
        <v>258</v>
      </c>
      <c r="P312" t="s">
        <v>262</v>
      </c>
    </row>
    <row r="313" spans="2:16" x14ac:dyDescent="0.2">
      <c r="B313" t="s">
        <v>424</v>
      </c>
      <c r="C313" t="str">
        <f t="shared" si="4"/>
        <v>Trichaulax_sp-id-81</v>
      </c>
      <c r="E313" t="s">
        <v>425</v>
      </c>
      <c r="F313" t="s">
        <v>265</v>
      </c>
      <c r="G313" t="s">
        <v>426</v>
      </c>
      <c r="H313" t="s">
        <v>18</v>
      </c>
      <c r="I313" t="s">
        <v>427</v>
      </c>
      <c r="J313">
        <v>1283</v>
      </c>
      <c r="K313" t="s">
        <v>77</v>
      </c>
      <c r="L313">
        <v>504</v>
      </c>
      <c r="M313" t="s">
        <v>78</v>
      </c>
      <c r="N313">
        <v>139</v>
      </c>
      <c r="O313" t="s">
        <v>428</v>
      </c>
      <c r="P313" t="s">
        <v>23</v>
      </c>
    </row>
    <row r="314" spans="2:16" x14ac:dyDescent="0.2">
      <c r="B314" t="s">
        <v>429</v>
      </c>
      <c r="C314" t="str">
        <f t="shared" si="4"/>
        <v>Trypoxylus_dichotomus-id-82</v>
      </c>
      <c r="E314" t="s">
        <v>430</v>
      </c>
      <c r="F314" t="s">
        <v>431</v>
      </c>
      <c r="G314" t="s">
        <v>258</v>
      </c>
      <c r="H314" t="s">
        <v>259</v>
      </c>
      <c r="I314" t="s">
        <v>432</v>
      </c>
      <c r="J314">
        <v>161</v>
      </c>
      <c r="K314" t="s">
        <v>261</v>
      </c>
      <c r="L314" t="s">
        <v>258</v>
      </c>
      <c r="M314" t="s">
        <v>258</v>
      </c>
      <c r="N314" t="s">
        <v>258</v>
      </c>
      <c r="O314" t="s">
        <v>258</v>
      </c>
      <c r="P314" t="s">
        <v>262</v>
      </c>
    </row>
    <row r="315" spans="2:16" x14ac:dyDescent="0.2">
      <c r="B315" t="s">
        <v>1290</v>
      </c>
      <c r="C315" t="str">
        <f t="shared" si="4"/>
        <v>Xinidium_dentilabris   -id-265</v>
      </c>
      <c r="E315" t="s">
        <v>210</v>
      </c>
      <c r="F315" t="s">
        <v>1291</v>
      </c>
      <c r="G315" t="s">
        <v>1292</v>
      </c>
      <c r="H315" t="s">
        <v>442</v>
      </c>
      <c r="I315" t="s">
        <v>1293</v>
      </c>
      <c r="J315">
        <v>1950</v>
      </c>
      <c r="K315" t="s">
        <v>77</v>
      </c>
      <c r="L315">
        <v>504</v>
      </c>
      <c r="M315" t="s">
        <v>78</v>
      </c>
      <c r="N315">
        <v>98</v>
      </c>
      <c r="O315" t="s">
        <v>122</v>
      </c>
    </row>
    <row r="316" spans="2:16" x14ac:dyDescent="0.2">
      <c r="B316" t="s">
        <v>209</v>
      </c>
      <c r="C316" t="str">
        <f t="shared" si="4"/>
        <v>Xinidium_dewitzi-id-34</v>
      </c>
      <c r="E316" t="s">
        <v>210</v>
      </c>
      <c r="F316" t="s">
        <v>211</v>
      </c>
      <c r="G316" t="s">
        <v>212</v>
      </c>
      <c r="H316" t="s">
        <v>18</v>
      </c>
      <c r="I316" t="s">
        <v>213</v>
      </c>
      <c r="J316">
        <v>1543</v>
      </c>
      <c r="K316" t="s">
        <v>77</v>
      </c>
      <c r="L316">
        <v>506</v>
      </c>
      <c r="M316" t="s">
        <v>196</v>
      </c>
      <c r="N316">
        <v>187</v>
      </c>
      <c r="O316" t="s">
        <v>214</v>
      </c>
      <c r="P316" t="s">
        <v>23</v>
      </c>
    </row>
    <row r="317" spans="2:16" x14ac:dyDescent="0.2">
      <c r="B317" t="s">
        <v>433</v>
      </c>
      <c r="C317" t="str">
        <f t="shared" si="4"/>
        <v>Xylonichus_sp-id-83</v>
      </c>
      <c r="E317" t="s">
        <v>434</v>
      </c>
      <c r="F317" t="s">
        <v>265</v>
      </c>
      <c r="G317" t="s">
        <v>435</v>
      </c>
      <c r="H317" t="s">
        <v>18</v>
      </c>
      <c r="I317" t="s">
        <v>436</v>
      </c>
      <c r="J317">
        <v>1347</v>
      </c>
      <c r="K317" t="s">
        <v>77</v>
      </c>
      <c r="L317">
        <v>504</v>
      </c>
      <c r="M317" t="s">
        <v>78</v>
      </c>
      <c r="N317">
        <v>117</v>
      </c>
      <c r="O317" t="s">
        <v>437</v>
      </c>
      <c r="P317" t="s">
        <v>23</v>
      </c>
    </row>
  </sheetData>
  <autoFilter ref="A1:P317" xr:uid="{1184DCF1-A94B-0C4B-BD94-26D03B87DA3A}">
    <sortState xmlns:xlrd2="http://schemas.microsoft.com/office/spreadsheetml/2017/richdata2" ref="A2:P317">
      <sortCondition ref="C1:C31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940B2-7B1F-8849-90EE-2C86B8EEA43D}">
  <dimension ref="A1:A317"/>
  <sheetViews>
    <sheetView zoomScaleNormal="100" workbookViewId="0">
      <selection activeCell="A2" sqref="A2:A317"/>
    </sheetView>
  </sheetViews>
  <sheetFormatPr baseColWidth="10" defaultRowHeight="16" x14ac:dyDescent="0.2"/>
  <cols>
    <col min="1" max="1" width="55" customWidth="1"/>
    <col min="3" max="3" width="45.6640625" customWidth="1"/>
    <col min="4" max="4" width="39.5" customWidth="1"/>
    <col min="5" max="5" width="26.1640625" customWidth="1"/>
  </cols>
  <sheetData>
    <row r="1" spans="1:1" x14ac:dyDescent="0.2">
      <c r="A1" t="s">
        <v>1501</v>
      </c>
    </row>
    <row r="2" spans="1:1" x14ac:dyDescent="0.2">
      <c r="A2" t="s">
        <v>1695</v>
      </c>
    </row>
    <row r="3" spans="1:1" x14ac:dyDescent="0.2">
      <c r="A3" t="s">
        <v>1544</v>
      </c>
    </row>
    <row r="4" spans="1:1" x14ac:dyDescent="0.2">
      <c r="A4" t="s">
        <v>1664</v>
      </c>
    </row>
    <row r="5" spans="1:1" x14ac:dyDescent="0.2">
      <c r="A5" t="s">
        <v>1545</v>
      </c>
    </row>
    <row r="6" spans="1:1" x14ac:dyDescent="0.2">
      <c r="A6" t="s">
        <v>1546</v>
      </c>
    </row>
    <row r="7" spans="1:1" x14ac:dyDescent="0.2">
      <c r="A7" t="s">
        <v>1629</v>
      </c>
    </row>
    <row r="8" spans="1:1" x14ac:dyDescent="0.2">
      <c r="A8" t="s">
        <v>1716</v>
      </c>
    </row>
    <row r="9" spans="1:1" x14ac:dyDescent="0.2">
      <c r="A9" t="s">
        <v>1696</v>
      </c>
    </row>
    <row r="10" spans="1:1" x14ac:dyDescent="0.2">
      <c r="A10" t="s">
        <v>1714</v>
      </c>
    </row>
    <row r="11" spans="1:1" x14ac:dyDescent="0.2">
      <c r="A11" t="s">
        <v>1699</v>
      </c>
    </row>
    <row r="12" spans="1:1" x14ac:dyDescent="0.2">
      <c r="A12" t="s">
        <v>1636</v>
      </c>
    </row>
    <row r="13" spans="1:1" x14ac:dyDescent="0.2">
      <c r="A13" t="s">
        <v>1530</v>
      </c>
    </row>
    <row r="14" spans="1:1" x14ac:dyDescent="0.2">
      <c r="A14" t="s">
        <v>1800</v>
      </c>
    </row>
    <row r="15" spans="1:1" x14ac:dyDescent="0.2">
      <c r="A15" t="s">
        <v>1540</v>
      </c>
    </row>
    <row r="16" spans="1:1" x14ac:dyDescent="0.2">
      <c r="A16" t="s">
        <v>1723</v>
      </c>
    </row>
    <row r="17" spans="1:1" x14ac:dyDescent="0.2">
      <c r="A17" t="s">
        <v>1637</v>
      </c>
    </row>
    <row r="18" spans="1:1" x14ac:dyDescent="0.2">
      <c r="A18" t="s">
        <v>1721</v>
      </c>
    </row>
    <row r="19" spans="1:1" x14ac:dyDescent="0.2">
      <c r="A19" t="s">
        <v>1720</v>
      </c>
    </row>
    <row r="20" spans="1:1" x14ac:dyDescent="0.2">
      <c r="A20" t="s">
        <v>1739</v>
      </c>
    </row>
    <row r="21" spans="1:1" x14ac:dyDescent="0.2">
      <c r="A21" t="s">
        <v>1690</v>
      </c>
    </row>
    <row r="22" spans="1:1" x14ac:dyDescent="0.2">
      <c r="A22" t="s">
        <v>1623</v>
      </c>
    </row>
    <row r="23" spans="1:1" x14ac:dyDescent="0.2">
      <c r="A23" t="s">
        <v>1771</v>
      </c>
    </row>
    <row r="24" spans="1:1" x14ac:dyDescent="0.2">
      <c r="A24" t="s">
        <v>1706</v>
      </c>
    </row>
    <row r="25" spans="1:1" x14ac:dyDescent="0.2">
      <c r="A25" t="s">
        <v>1748</v>
      </c>
    </row>
    <row r="26" spans="1:1" x14ac:dyDescent="0.2">
      <c r="A26" t="s">
        <v>1724</v>
      </c>
    </row>
    <row r="27" spans="1:1" x14ac:dyDescent="0.2">
      <c r="A27" t="s">
        <v>1803</v>
      </c>
    </row>
    <row r="28" spans="1:1" x14ac:dyDescent="0.2">
      <c r="A28" t="s">
        <v>1541</v>
      </c>
    </row>
    <row r="29" spans="1:1" x14ac:dyDescent="0.2">
      <c r="A29" t="s">
        <v>1777</v>
      </c>
    </row>
    <row r="30" spans="1:1" x14ac:dyDescent="0.2">
      <c r="A30" t="s">
        <v>1599</v>
      </c>
    </row>
    <row r="31" spans="1:1" x14ac:dyDescent="0.2">
      <c r="A31" t="s">
        <v>1666</v>
      </c>
    </row>
    <row r="32" spans="1:1" x14ac:dyDescent="0.2">
      <c r="A32" t="s">
        <v>1520</v>
      </c>
    </row>
    <row r="33" spans="1:1" x14ac:dyDescent="0.2">
      <c r="A33" t="s">
        <v>1651</v>
      </c>
    </row>
    <row r="34" spans="1:1" x14ac:dyDescent="0.2">
      <c r="A34" t="s">
        <v>1624</v>
      </c>
    </row>
    <row r="35" spans="1:1" x14ac:dyDescent="0.2">
      <c r="A35" t="s">
        <v>1605</v>
      </c>
    </row>
    <row r="36" spans="1:1" x14ac:dyDescent="0.2">
      <c r="A36" t="s">
        <v>1750</v>
      </c>
    </row>
    <row r="37" spans="1:1" x14ac:dyDescent="0.2">
      <c r="A37" t="s">
        <v>1746</v>
      </c>
    </row>
    <row r="38" spans="1:1" x14ac:dyDescent="0.2">
      <c r="A38" t="s">
        <v>1763</v>
      </c>
    </row>
    <row r="39" spans="1:1" x14ac:dyDescent="0.2">
      <c r="A39" t="s">
        <v>1751</v>
      </c>
    </row>
    <row r="40" spans="1:1" x14ac:dyDescent="0.2">
      <c r="A40" t="s">
        <v>1547</v>
      </c>
    </row>
    <row r="41" spans="1:1" x14ac:dyDescent="0.2">
      <c r="A41" t="s">
        <v>1805</v>
      </c>
    </row>
    <row r="42" spans="1:1" x14ac:dyDescent="0.2">
      <c r="A42" t="s">
        <v>1811</v>
      </c>
    </row>
    <row r="43" spans="1:1" x14ac:dyDescent="0.2">
      <c r="A43" t="s">
        <v>1640</v>
      </c>
    </row>
    <row r="44" spans="1:1" x14ac:dyDescent="0.2">
      <c r="A44" t="s">
        <v>1523</v>
      </c>
    </row>
    <row r="45" spans="1:1" x14ac:dyDescent="0.2">
      <c r="A45" t="s">
        <v>1740</v>
      </c>
    </row>
    <row r="46" spans="1:1" x14ac:dyDescent="0.2">
      <c r="A46" t="s">
        <v>1585</v>
      </c>
    </row>
    <row r="47" spans="1:1" x14ac:dyDescent="0.2">
      <c r="A47" t="s">
        <v>1649</v>
      </c>
    </row>
    <row r="48" spans="1:1" x14ac:dyDescent="0.2">
      <c r="A48" t="s">
        <v>1548</v>
      </c>
    </row>
    <row r="49" spans="1:1" x14ac:dyDescent="0.2">
      <c r="A49" t="s">
        <v>1707</v>
      </c>
    </row>
    <row r="50" spans="1:1" x14ac:dyDescent="0.2">
      <c r="A50" t="s">
        <v>1704</v>
      </c>
    </row>
    <row r="51" spans="1:1" x14ac:dyDescent="0.2">
      <c r="A51" t="s">
        <v>1677</v>
      </c>
    </row>
    <row r="52" spans="1:1" x14ac:dyDescent="0.2">
      <c r="A52" t="s">
        <v>1528</v>
      </c>
    </row>
    <row r="53" spans="1:1" x14ac:dyDescent="0.2">
      <c r="A53" t="s">
        <v>1549</v>
      </c>
    </row>
    <row r="54" spans="1:1" x14ac:dyDescent="0.2">
      <c r="A54" t="s">
        <v>1600</v>
      </c>
    </row>
    <row r="55" spans="1:1" x14ac:dyDescent="0.2">
      <c r="A55" t="s">
        <v>1596</v>
      </c>
    </row>
    <row r="56" spans="1:1" x14ac:dyDescent="0.2">
      <c r="A56" t="s">
        <v>1752</v>
      </c>
    </row>
    <row r="57" spans="1:1" x14ac:dyDescent="0.2">
      <c r="A57" t="s">
        <v>1593</v>
      </c>
    </row>
    <row r="58" spans="1:1" x14ac:dyDescent="0.2">
      <c r="A58" t="s">
        <v>1586</v>
      </c>
    </row>
    <row r="59" spans="1:1" x14ac:dyDescent="0.2">
      <c r="A59" t="s">
        <v>1550</v>
      </c>
    </row>
    <row r="60" spans="1:1" x14ac:dyDescent="0.2">
      <c r="A60" t="s">
        <v>1729</v>
      </c>
    </row>
    <row r="61" spans="1:1" x14ac:dyDescent="0.2">
      <c r="A61" t="s">
        <v>1613</v>
      </c>
    </row>
    <row r="62" spans="1:1" x14ac:dyDescent="0.2">
      <c r="A62" t="s">
        <v>1754</v>
      </c>
    </row>
    <row r="63" spans="1:1" x14ac:dyDescent="0.2">
      <c r="A63" t="s">
        <v>1616</v>
      </c>
    </row>
    <row r="64" spans="1:1" x14ac:dyDescent="0.2">
      <c r="A64" t="s">
        <v>1551</v>
      </c>
    </row>
    <row r="65" spans="1:1" x14ac:dyDescent="0.2">
      <c r="A65" t="s">
        <v>1521</v>
      </c>
    </row>
    <row r="66" spans="1:1" x14ac:dyDescent="0.2">
      <c r="A66" t="s">
        <v>1742</v>
      </c>
    </row>
    <row r="67" spans="1:1" x14ac:dyDescent="0.2">
      <c r="A67" t="s">
        <v>1719</v>
      </c>
    </row>
    <row r="68" spans="1:1" x14ac:dyDescent="0.2">
      <c r="A68" t="s">
        <v>1552</v>
      </c>
    </row>
    <row r="69" spans="1:1" x14ac:dyDescent="0.2">
      <c r="A69" t="s">
        <v>1727</v>
      </c>
    </row>
    <row r="70" spans="1:1" x14ac:dyDescent="0.2">
      <c r="A70" t="s">
        <v>1744</v>
      </c>
    </row>
    <row r="71" spans="1:1" x14ac:dyDescent="0.2">
      <c r="A71" t="s">
        <v>1753</v>
      </c>
    </row>
    <row r="72" spans="1:1" x14ac:dyDescent="0.2">
      <c r="A72" t="s">
        <v>1733</v>
      </c>
    </row>
    <row r="73" spans="1:1" x14ac:dyDescent="0.2">
      <c r="A73" t="s">
        <v>1802</v>
      </c>
    </row>
    <row r="74" spans="1:1" x14ac:dyDescent="0.2">
      <c r="A74" t="s">
        <v>1698</v>
      </c>
    </row>
    <row r="75" spans="1:1" x14ac:dyDescent="0.2">
      <c r="A75" t="s">
        <v>1809</v>
      </c>
    </row>
    <row r="76" spans="1:1" x14ac:dyDescent="0.2">
      <c r="A76" t="s">
        <v>1810</v>
      </c>
    </row>
    <row r="77" spans="1:1" x14ac:dyDescent="0.2">
      <c r="A77" t="s">
        <v>1737</v>
      </c>
    </row>
    <row r="78" spans="1:1" x14ac:dyDescent="0.2">
      <c r="A78" t="s">
        <v>1703</v>
      </c>
    </row>
    <row r="79" spans="1:1" x14ac:dyDescent="0.2">
      <c r="A79" t="s">
        <v>1730</v>
      </c>
    </row>
    <row r="80" spans="1:1" x14ac:dyDescent="0.2">
      <c r="A80" t="s">
        <v>1769</v>
      </c>
    </row>
    <row r="81" spans="1:1" x14ac:dyDescent="0.2">
      <c r="A81" t="s">
        <v>1713</v>
      </c>
    </row>
    <row r="82" spans="1:1" x14ac:dyDescent="0.2">
      <c r="A82" t="s">
        <v>1711</v>
      </c>
    </row>
    <row r="83" spans="1:1" x14ac:dyDescent="0.2">
      <c r="A83" t="s">
        <v>1626</v>
      </c>
    </row>
    <row r="84" spans="1:1" x14ac:dyDescent="0.2">
      <c r="A84" t="s">
        <v>1653</v>
      </c>
    </row>
    <row r="85" spans="1:1" x14ac:dyDescent="0.2">
      <c r="A85" t="s">
        <v>1689</v>
      </c>
    </row>
    <row r="86" spans="1:1" x14ac:dyDescent="0.2">
      <c r="A86" t="s">
        <v>1694</v>
      </c>
    </row>
    <row r="87" spans="1:1" x14ac:dyDescent="0.2">
      <c r="A87" t="s">
        <v>1591</v>
      </c>
    </row>
    <row r="88" spans="1:1" x14ac:dyDescent="0.2">
      <c r="A88" t="s">
        <v>1775</v>
      </c>
    </row>
    <row r="89" spans="1:1" x14ac:dyDescent="0.2">
      <c r="A89" t="s">
        <v>1527</v>
      </c>
    </row>
    <row r="90" spans="1:1" x14ac:dyDescent="0.2">
      <c r="A90" t="s">
        <v>1594</v>
      </c>
    </row>
    <row r="91" spans="1:1" x14ac:dyDescent="0.2">
      <c r="A91" t="s">
        <v>1597</v>
      </c>
    </row>
    <row r="92" spans="1:1" x14ac:dyDescent="0.2">
      <c r="A92" t="s">
        <v>1806</v>
      </c>
    </row>
    <row r="93" spans="1:1" x14ac:dyDescent="0.2">
      <c r="A93" t="s">
        <v>1807</v>
      </c>
    </row>
    <row r="94" spans="1:1" x14ac:dyDescent="0.2">
      <c r="A94" t="s">
        <v>1654</v>
      </c>
    </row>
    <row r="95" spans="1:1" x14ac:dyDescent="0.2">
      <c r="A95" t="s">
        <v>1686</v>
      </c>
    </row>
    <row r="96" spans="1:1" x14ac:dyDescent="0.2">
      <c r="A96" t="s">
        <v>1553</v>
      </c>
    </row>
    <row r="97" spans="1:1" x14ac:dyDescent="0.2">
      <c r="A97" t="s">
        <v>1522</v>
      </c>
    </row>
    <row r="98" spans="1:1" x14ac:dyDescent="0.2">
      <c r="A98" t="s">
        <v>1641</v>
      </c>
    </row>
    <row r="99" spans="1:1" x14ac:dyDescent="0.2">
      <c r="A99" t="s">
        <v>1538</v>
      </c>
    </row>
    <row r="100" spans="1:1" x14ac:dyDescent="0.2">
      <c r="A100" t="s">
        <v>1659</v>
      </c>
    </row>
    <row r="101" spans="1:1" x14ac:dyDescent="0.2">
      <c r="A101" t="s">
        <v>1712</v>
      </c>
    </row>
    <row r="102" spans="1:1" x14ac:dyDescent="0.2">
      <c r="A102" t="s">
        <v>1735</v>
      </c>
    </row>
    <row r="103" spans="1:1" x14ac:dyDescent="0.2">
      <c r="A103" t="s">
        <v>1516</v>
      </c>
    </row>
    <row r="104" spans="1:1" x14ac:dyDescent="0.2">
      <c r="A104" t="s">
        <v>1652</v>
      </c>
    </row>
    <row r="105" spans="1:1" x14ac:dyDescent="0.2">
      <c r="A105" t="s">
        <v>1554</v>
      </c>
    </row>
    <row r="106" spans="1:1" x14ac:dyDescent="0.2">
      <c r="A106" t="s">
        <v>1555</v>
      </c>
    </row>
    <row r="107" spans="1:1" x14ac:dyDescent="0.2">
      <c r="A107" t="s">
        <v>1812</v>
      </c>
    </row>
    <row r="108" spans="1:1" x14ac:dyDescent="0.2">
      <c r="A108" t="s">
        <v>1709</v>
      </c>
    </row>
    <row r="109" spans="1:1" x14ac:dyDescent="0.2">
      <c r="A109" t="s">
        <v>1519</v>
      </c>
    </row>
    <row r="110" spans="1:1" x14ac:dyDescent="0.2">
      <c r="A110" t="s">
        <v>1665</v>
      </c>
    </row>
    <row r="111" spans="1:1" x14ac:dyDescent="0.2">
      <c r="A111" t="s">
        <v>1734</v>
      </c>
    </row>
    <row r="112" spans="1:1" x14ac:dyDescent="0.2">
      <c r="A112" t="s">
        <v>1517</v>
      </c>
    </row>
    <row r="113" spans="1:1" x14ac:dyDescent="0.2">
      <c r="A113" t="s">
        <v>1762</v>
      </c>
    </row>
    <row r="114" spans="1:1" x14ac:dyDescent="0.2">
      <c r="A114" t="s">
        <v>1757</v>
      </c>
    </row>
    <row r="115" spans="1:1" x14ac:dyDescent="0.2">
      <c r="A115" t="s">
        <v>1504</v>
      </c>
    </row>
    <row r="116" spans="1:1" x14ac:dyDescent="0.2">
      <c r="A116" t="s">
        <v>1509</v>
      </c>
    </row>
    <row r="117" spans="1:1" x14ac:dyDescent="0.2">
      <c r="A117" t="s">
        <v>1502</v>
      </c>
    </row>
    <row r="118" spans="1:1" x14ac:dyDescent="0.2">
      <c r="A118" t="s">
        <v>1503</v>
      </c>
    </row>
    <row r="119" spans="1:1" x14ac:dyDescent="0.2">
      <c r="A119" t="s">
        <v>1508</v>
      </c>
    </row>
    <row r="120" spans="1:1" x14ac:dyDescent="0.2">
      <c r="A120" t="s">
        <v>1510</v>
      </c>
    </row>
    <row r="121" spans="1:1" x14ac:dyDescent="0.2">
      <c r="A121" t="s">
        <v>1507</v>
      </c>
    </row>
    <row r="122" spans="1:1" x14ac:dyDescent="0.2">
      <c r="A122" t="s">
        <v>1506</v>
      </c>
    </row>
    <row r="123" spans="1:1" x14ac:dyDescent="0.2">
      <c r="A123" t="s">
        <v>1505</v>
      </c>
    </row>
    <row r="124" spans="1:1" x14ac:dyDescent="0.2">
      <c r="A124" t="s">
        <v>1590</v>
      </c>
    </row>
    <row r="125" spans="1:1" x14ac:dyDescent="0.2">
      <c r="A125" t="s">
        <v>1612</v>
      </c>
    </row>
    <row r="126" spans="1:1" x14ac:dyDescent="0.2">
      <c r="A126" t="s">
        <v>1604</v>
      </c>
    </row>
    <row r="127" spans="1:1" x14ac:dyDescent="0.2">
      <c r="A127" t="s">
        <v>1614</v>
      </c>
    </row>
    <row r="128" spans="1:1" x14ac:dyDescent="0.2">
      <c r="A128" t="s">
        <v>1606</v>
      </c>
    </row>
    <row r="129" spans="1:1" x14ac:dyDescent="0.2">
      <c r="A129" t="s">
        <v>1618</v>
      </c>
    </row>
    <row r="130" spans="1:1" x14ac:dyDescent="0.2">
      <c r="A130" t="s">
        <v>1611</v>
      </c>
    </row>
    <row r="131" spans="1:1" x14ac:dyDescent="0.2">
      <c r="A131" t="s">
        <v>1601</v>
      </c>
    </row>
    <row r="132" spans="1:1" x14ac:dyDescent="0.2">
      <c r="A132" t="s">
        <v>1804</v>
      </c>
    </row>
    <row r="133" spans="1:1" x14ac:dyDescent="0.2">
      <c r="A133" t="s">
        <v>1617</v>
      </c>
    </row>
    <row r="134" spans="1:1" x14ac:dyDescent="0.2">
      <c r="A134" t="s">
        <v>1609</v>
      </c>
    </row>
    <row r="135" spans="1:1" x14ac:dyDescent="0.2">
      <c r="A135" t="s">
        <v>1758</v>
      </c>
    </row>
    <row r="136" spans="1:1" x14ac:dyDescent="0.2">
      <c r="A136" t="s">
        <v>1610</v>
      </c>
    </row>
    <row r="137" spans="1:1" x14ac:dyDescent="0.2">
      <c r="A137" t="s">
        <v>1662</v>
      </c>
    </row>
    <row r="138" spans="1:1" x14ac:dyDescent="0.2">
      <c r="A138" t="s">
        <v>1608</v>
      </c>
    </row>
    <row r="139" spans="1:1" x14ac:dyDescent="0.2">
      <c r="A139" t="s">
        <v>1682</v>
      </c>
    </row>
    <row r="140" spans="1:1" x14ac:dyDescent="0.2">
      <c r="A140" t="s">
        <v>1587</v>
      </c>
    </row>
    <row r="141" spans="1:1" x14ac:dyDescent="0.2">
      <c r="A141" t="s">
        <v>1514</v>
      </c>
    </row>
    <row r="142" spans="1:1" x14ac:dyDescent="0.2">
      <c r="A142" t="s">
        <v>1685</v>
      </c>
    </row>
    <row r="143" spans="1:1" x14ac:dyDescent="0.2">
      <c r="A143" t="s">
        <v>1767</v>
      </c>
    </row>
    <row r="144" spans="1:1" x14ac:dyDescent="0.2">
      <c r="A144" t="s">
        <v>1526</v>
      </c>
    </row>
    <row r="145" spans="1:1" x14ac:dyDescent="0.2">
      <c r="A145" t="s">
        <v>1773</v>
      </c>
    </row>
    <row r="146" spans="1:1" x14ac:dyDescent="0.2">
      <c r="A146" t="s">
        <v>1628</v>
      </c>
    </row>
    <row r="147" spans="1:1" x14ac:dyDescent="0.2">
      <c r="A147" t="s">
        <v>1602</v>
      </c>
    </row>
    <row r="148" spans="1:1" x14ac:dyDescent="0.2">
      <c r="A148" t="s">
        <v>1770</v>
      </c>
    </row>
    <row r="149" spans="1:1" x14ac:dyDescent="0.2">
      <c r="A149" t="s">
        <v>1556</v>
      </c>
    </row>
    <row r="150" spans="1:1" x14ac:dyDescent="0.2">
      <c r="A150" t="s">
        <v>1557</v>
      </c>
    </row>
    <row r="151" spans="1:1" x14ac:dyDescent="0.2">
      <c r="A151" t="s">
        <v>1603</v>
      </c>
    </row>
    <row r="152" spans="1:1" x14ac:dyDescent="0.2">
      <c r="A152" t="s">
        <v>1615</v>
      </c>
    </row>
    <row r="153" spans="1:1" x14ac:dyDescent="0.2">
      <c r="A153" t="s">
        <v>1592</v>
      </c>
    </row>
    <row r="154" spans="1:1" x14ac:dyDescent="0.2">
      <c r="A154" t="s">
        <v>1697</v>
      </c>
    </row>
    <row r="155" spans="1:1" x14ac:dyDescent="0.2">
      <c r="A155" t="s">
        <v>1595</v>
      </c>
    </row>
    <row r="156" spans="1:1" x14ac:dyDescent="0.2">
      <c r="A156" t="s">
        <v>1668</v>
      </c>
    </row>
    <row r="157" spans="1:1" x14ac:dyDescent="0.2">
      <c r="A157" t="s">
        <v>1693</v>
      </c>
    </row>
    <row r="158" spans="1:1" x14ac:dyDescent="0.2">
      <c r="A158" t="s">
        <v>1607</v>
      </c>
    </row>
    <row r="159" spans="1:1" x14ac:dyDescent="0.2">
      <c r="A159" t="s">
        <v>1620</v>
      </c>
    </row>
    <row r="160" spans="1:1" x14ac:dyDescent="0.2">
      <c r="A160" t="s">
        <v>1658</v>
      </c>
    </row>
    <row r="161" spans="1:1" x14ac:dyDescent="0.2">
      <c r="A161" t="s">
        <v>1679</v>
      </c>
    </row>
    <row r="162" spans="1:1" x14ac:dyDescent="0.2">
      <c r="A162" t="s">
        <v>1518</v>
      </c>
    </row>
    <row r="163" spans="1:1" x14ac:dyDescent="0.2">
      <c r="A163" t="s">
        <v>1632</v>
      </c>
    </row>
    <row r="164" spans="1:1" x14ac:dyDescent="0.2">
      <c r="A164" t="s">
        <v>1650</v>
      </c>
    </row>
    <row r="165" spans="1:1" x14ac:dyDescent="0.2">
      <c r="A165" t="s">
        <v>1715</v>
      </c>
    </row>
    <row r="166" spans="1:1" x14ac:dyDescent="0.2">
      <c r="A166" t="s">
        <v>1558</v>
      </c>
    </row>
    <row r="167" spans="1:1" x14ac:dyDescent="0.2">
      <c r="A167" t="s">
        <v>1559</v>
      </c>
    </row>
    <row r="168" spans="1:1" x14ac:dyDescent="0.2">
      <c r="A168" t="s">
        <v>1732</v>
      </c>
    </row>
    <row r="169" spans="1:1" x14ac:dyDescent="0.2">
      <c r="A169" t="s">
        <v>1815</v>
      </c>
    </row>
    <row r="170" spans="1:1" x14ac:dyDescent="0.2">
      <c r="A170" t="s">
        <v>1543</v>
      </c>
    </row>
    <row r="171" spans="1:1" x14ac:dyDescent="0.2">
      <c r="A171" t="s">
        <v>1708</v>
      </c>
    </row>
    <row r="172" spans="1:1" x14ac:dyDescent="0.2">
      <c r="A172" t="s">
        <v>1512</v>
      </c>
    </row>
    <row r="173" spans="1:1" x14ac:dyDescent="0.2">
      <c r="A173" t="s">
        <v>1717</v>
      </c>
    </row>
    <row r="174" spans="1:1" x14ac:dyDescent="0.2">
      <c r="A174" t="s">
        <v>1560</v>
      </c>
    </row>
    <row r="175" spans="1:1" x14ac:dyDescent="0.2">
      <c r="A175" t="s">
        <v>1561</v>
      </c>
    </row>
    <row r="176" spans="1:1" x14ac:dyDescent="0.2">
      <c r="A176" t="s">
        <v>1702</v>
      </c>
    </row>
    <row r="177" spans="1:1" x14ac:dyDescent="0.2">
      <c r="A177" t="s">
        <v>1562</v>
      </c>
    </row>
    <row r="178" spans="1:1" x14ac:dyDescent="0.2">
      <c r="A178" t="s">
        <v>1531</v>
      </c>
    </row>
    <row r="179" spans="1:1" x14ac:dyDescent="0.2">
      <c r="A179" t="s">
        <v>1563</v>
      </c>
    </row>
    <row r="180" spans="1:1" x14ac:dyDescent="0.2">
      <c r="A180" t="s">
        <v>1700</v>
      </c>
    </row>
    <row r="181" spans="1:1" x14ac:dyDescent="0.2">
      <c r="A181" t="s">
        <v>1676</v>
      </c>
    </row>
    <row r="182" spans="1:1" x14ac:dyDescent="0.2">
      <c r="A182" t="s">
        <v>1691</v>
      </c>
    </row>
    <row r="183" spans="1:1" x14ac:dyDescent="0.2">
      <c r="A183" t="s">
        <v>1564</v>
      </c>
    </row>
    <row r="184" spans="1:1" x14ac:dyDescent="0.2">
      <c r="A184" t="s">
        <v>1761</v>
      </c>
    </row>
    <row r="185" spans="1:1" x14ac:dyDescent="0.2">
      <c r="A185" t="s">
        <v>1525</v>
      </c>
    </row>
    <row r="186" spans="1:1" x14ac:dyDescent="0.2">
      <c r="A186" t="s">
        <v>1588</v>
      </c>
    </row>
    <row r="187" spans="1:1" x14ac:dyDescent="0.2">
      <c r="A187" t="s">
        <v>1533</v>
      </c>
    </row>
    <row r="188" spans="1:1" x14ac:dyDescent="0.2">
      <c r="A188" t="s">
        <v>1756</v>
      </c>
    </row>
    <row r="189" spans="1:1" x14ac:dyDescent="0.2">
      <c r="A189" t="s">
        <v>1701</v>
      </c>
    </row>
    <row r="190" spans="1:1" x14ac:dyDescent="0.2">
      <c r="A190" t="s">
        <v>1660</v>
      </c>
    </row>
    <row r="191" spans="1:1" x14ac:dyDescent="0.2">
      <c r="A191" t="s">
        <v>1726</v>
      </c>
    </row>
    <row r="192" spans="1:1" x14ac:dyDescent="0.2">
      <c r="A192" t="s">
        <v>1656</v>
      </c>
    </row>
    <row r="193" spans="1:1" x14ac:dyDescent="0.2">
      <c r="A193" t="s">
        <v>1688</v>
      </c>
    </row>
    <row r="194" spans="1:1" x14ac:dyDescent="0.2">
      <c r="A194" t="s">
        <v>1565</v>
      </c>
    </row>
    <row r="195" spans="1:1" x14ac:dyDescent="0.2">
      <c r="A195" t="s">
        <v>1680</v>
      </c>
    </row>
    <row r="196" spans="1:1" x14ac:dyDescent="0.2">
      <c r="A196" t="s">
        <v>1524</v>
      </c>
    </row>
    <row r="197" spans="1:1" x14ac:dyDescent="0.2">
      <c r="A197" t="s">
        <v>1801</v>
      </c>
    </row>
    <row r="198" spans="1:1" x14ac:dyDescent="0.2">
      <c r="A198" t="s">
        <v>1799</v>
      </c>
    </row>
    <row r="199" spans="1:1" x14ac:dyDescent="0.2">
      <c r="A199" t="s">
        <v>1718</v>
      </c>
    </row>
    <row r="200" spans="1:1" x14ac:dyDescent="0.2">
      <c r="A200" t="s">
        <v>1644</v>
      </c>
    </row>
    <row r="201" spans="1:1" x14ac:dyDescent="0.2">
      <c r="A201" t="s">
        <v>1672</v>
      </c>
    </row>
    <row r="202" spans="1:1" x14ac:dyDescent="0.2">
      <c r="A202" t="s">
        <v>1741</v>
      </c>
    </row>
    <row r="203" spans="1:1" x14ac:dyDescent="0.2">
      <c r="A203" t="s">
        <v>1705</v>
      </c>
    </row>
    <row r="204" spans="1:1" x14ac:dyDescent="0.2">
      <c r="A204" t="s">
        <v>1681</v>
      </c>
    </row>
    <row r="205" spans="1:1" x14ac:dyDescent="0.2">
      <c r="A205" t="s">
        <v>1772</v>
      </c>
    </row>
    <row r="206" spans="1:1" x14ac:dyDescent="0.2">
      <c r="A206" t="s">
        <v>1598</v>
      </c>
    </row>
    <row r="207" spans="1:1" x14ac:dyDescent="0.2">
      <c r="A207" t="s">
        <v>1687</v>
      </c>
    </row>
    <row r="208" spans="1:1" x14ac:dyDescent="0.2">
      <c r="A208" t="s">
        <v>1778</v>
      </c>
    </row>
    <row r="209" spans="1:1" x14ac:dyDescent="0.2">
      <c r="A209" t="s">
        <v>1566</v>
      </c>
    </row>
    <row r="210" spans="1:1" x14ac:dyDescent="0.2">
      <c r="A210" t="s">
        <v>1511</v>
      </c>
    </row>
    <row r="211" spans="1:1" x14ac:dyDescent="0.2">
      <c r="A211" t="s">
        <v>1781</v>
      </c>
    </row>
    <row r="212" spans="1:1" x14ac:dyDescent="0.2">
      <c r="A212" t="s">
        <v>1780</v>
      </c>
    </row>
    <row r="213" spans="1:1" x14ac:dyDescent="0.2">
      <c r="A213" t="s">
        <v>1779</v>
      </c>
    </row>
    <row r="214" spans="1:1" x14ac:dyDescent="0.2">
      <c r="A214" t="s">
        <v>1797</v>
      </c>
    </row>
    <row r="215" spans="1:1" x14ac:dyDescent="0.2">
      <c r="A215" t="s">
        <v>1798</v>
      </c>
    </row>
    <row r="216" spans="1:1" x14ac:dyDescent="0.2">
      <c r="A216" t="s">
        <v>1567</v>
      </c>
    </row>
    <row r="217" spans="1:1" x14ac:dyDescent="0.2">
      <c r="A217" t="s">
        <v>1568</v>
      </c>
    </row>
    <row r="218" spans="1:1" x14ac:dyDescent="0.2">
      <c r="A218" t="s">
        <v>1808</v>
      </c>
    </row>
    <row r="219" spans="1:1" x14ac:dyDescent="0.2">
      <c r="A219" t="s">
        <v>1743</v>
      </c>
    </row>
    <row r="220" spans="1:1" x14ac:dyDescent="0.2">
      <c r="A220" t="s">
        <v>1749</v>
      </c>
    </row>
    <row r="221" spans="1:1" x14ac:dyDescent="0.2">
      <c r="A221" t="s">
        <v>1569</v>
      </c>
    </row>
    <row r="222" spans="1:1" x14ac:dyDescent="0.2">
      <c r="A222" t="s">
        <v>1570</v>
      </c>
    </row>
    <row r="223" spans="1:1" x14ac:dyDescent="0.2">
      <c r="A223" t="s">
        <v>1619</v>
      </c>
    </row>
    <row r="224" spans="1:1" x14ac:dyDescent="0.2">
      <c r="A224" t="s">
        <v>1678</v>
      </c>
    </row>
    <row r="225" spans="1:1" x14ac:dyDescent="0.2">
      <c r="A225" t="s">
        <v>1622</v>
      </c>
    </row>
    <row r="226" spans="1:1" x14ac:dyDescent="0.2">
      <c r="A226" t="s">
        <v>1774</v>
      </c>
    </row>
    <row r="227" spans="1:1" x14ac:dyDescent="0.2">
      <c r="A227" t="s">
        <v>1625</v>
      </c>
    </row>
    <row r="228" spans="1:1" x14ac:dyDescent="0.2">
      <c r="A228" t="s">
        <v>1667</v>
      </c>
    </row>
    <row r="229" spans="1:1" x14ac:dyDescent="0.2">
      <c r="A229" t="s">
        <v>1529</v>
      </c>
    </row>
    <row r="230" spans="1:1" x14ac:dyDescent="0.2">
      <c r="A230" t="s">
        <v>1764</v>
      </c>
    </row>
    <row r="231" spans="1:1" x14ac:dyDescent="0.2">
      <c r="A231" t="s">
        <v>1731</v>
      </c>
    </row>
    <row r="232" spans="1:1" x14ac:dyDescent="0.2">
      <c r="A232" t="s">
        <v>1671</v>
      </c>
    </row>
    <row r="233" spans="1:1" x14ac:dyDescent="0.2">
      <c r="A233" t="s">
        <v>1674</v>
      </c>
    </row>
    <row r="234" spans="1:1" x14ac:dyDescent="0.2">
      <c r="A234" t="s">
        <v>1710</v>
      </c>
    </row>
    <row r="235" spans="1:1" x14ac:dyDescent="0.2">
      <c r="A235" t="s">
        <v>1670</v>
      </c>
    </row>
    <row r="236" spans="1:1" x14ac:dyDescent="0.2">
      <c r="A236" t="s">
        <v>1627</v>
      </c>
    </row>
    <row r="237" spans="1:1" x14ac:dyDescent="0.2">
      <c r="A237" t="s">
        <v>1635</v>
      </c>
    </row>
    <row r="238" spans="1:1" x14ac:dyDescent="0.2">
      <c r="A238" t="s">
        <v>1643</v>
      </c>
    </row>
    <row r="239" spans="1:1" x14ac:dyDescent="0.2">
      <c r="A239" t="s">
        <v>1768</v>
      </c>
    </row>
    <row r="240" spans="1:1" x14ac:dyDescent="0.2">
      <c r="A240" t="s">
        <v>1532</v>
      </c>
    </row>
    <row r="241" spans="1:1" x14ac:dyDescent="0.2">
      <c r="A241" t="s">
        <v>1683</v>
      </c>
    </row>
    <row r="242" spans="1:1" x14ac:dyDescent="0.2">
      <c r="A242" t="s">
        <v>1661</v>
      </c>
    </row>
    <row r="243" spans="1:1" x14ac:dyDescent="0.2">
      <c r="A243" t="s">
        <v>1745</v>
      </c>
    </row>
    <row r="244" spans="1:1" x14ac:dyDescent="0.2">
      <c r="A244" t="s">
        <v>1759</v>
      </c>
    </row>
    <row r="245" spans="1:1" x14ac:dyDescent="0.2">
      <c r="A245" t="s">
        <v>1630</v>
      </c>
    </row>
    <row r="246" spans="1:1" x14ac:dyDescent="0.2">
      <c r="A246" t="s">
        <v>1722</v>
      </c>
    </row>
    <row r="247" spans="1:1" x14ac:dyDescent="0.2">
      <c r="A247" t="s">
        <v>1646</v>
      </c>
    </row>
    <row r="248" spans="1:1" x14ac:dyDescent="0.2">
      <c r="A248" t="s">
        <v>1657</v>
      </c>
    </row>
    <row r="249" spans="1:1" x14ac:dyDescent="0.2">
      <c r="A249" t="s">
        <v>1738</v>
      </c>
    </row>
    <row r="250" spans="1:1" x14ac:dyDescent="0.2">
      <c r="A250" t="s">
        <v>1648</v>
      </c>
    </row>
    <row r="251" spans="1:1" x14ac:dyDescent="0.2">
      <c r="A251" t="s">
        <v>1755</v>
      </c>
    </row>
    <row r="252" spans="1:1" x14ac:dyDescent="0.2">
      <c r="A252" t="s">
        <v>1765</v>
      </c>
    </row>
    <row r="253" spans="1:1" x14ac:dyDescent="0.2">
      <c r="A253" t="s">
        <v>1692</v>
      </c>
    </row>
    <row r="254" spans="1:1" x14ac:dyDescent="0.2">
      <c r="A254" t="s">
        <v>1663</v>
      </c>
    </row>
    <row r="255" spans="1:1" x14ac:dyDescent="0.2">
      <c r="A255" t="s">
        <v>1747</v>
      </c>
    </row>
    <row r="256" spans="1:1" x14ac:dyDescent="0.2">
      <c r="A256" t="s">
        <v>1673</v>
      </c>
    </row>
    <row r="257" spans="1:1" x14ac:dyDescent="0.2">
      <c r="A257" t="s">
        <v>1571</v>
      </c>
    </row>
    <row r="258" spans="1:1" x14ac:dyDescent="0.2">
      <c r="A258" t="s">
        <v>1539</v>
      </c>
    </row>
    <row r="259" spans="1:1" x14ac:dyDescent="0.2">
      <c r="A259" t="s">
        <v>1633</v>
      </c>
    </row>
    <row r="260" spans="1:1" x14ac:dyDescent="0.2">
      <c r="A260" t="s">
        <v>1572</v>
      </c>
    </row>
    <row r="261" spans="1:1" x14ac:dyDescent="0.2">
      <c r="A261" t="s">
        <v>1573</v>
      </c>
    </row>
    <row r="262" spans="1:1" x14ac:dyDescent="0.2">
      <c r="A262" t="s">
        <v>1642</v>
      </c>
    </row>
    <row r="263" spans="1:1" x14ac:dyDescent="0.2">
      <c r="A263" t="s">
        <v>1647</v>
      </c>
    </row>
    <row r="264" spans="1:1" x14ac:dyDescent="0.2">
      <c r="A264" t="s">
        <v>1816</v>
      </c>
    </row>
    <row r="265" spans="1:1" x14ac:dyDescent="0.2">
      <c r="A265" t="s">
        <v>1817</v>
      </c>
    </row>
    <row r="266" spans="1:1" x14ac:dyDescent="0.2">
      <c r="A266" t="s">
        <v>1669</v>
      </c>
    </row>
    <row r="267" spans="1:1" x14ac:dyDescent="0.2">
      <c r="A267" t="s">
        <v>1760</v>
      </c>
    </row>
    <row r="268" spans="1:1" x14ac:dyDescent="0.2">
      <c r="A268" t="s">
        <v>1684</v>
      </c>
    </row>
    <row r="269" spans="1:1" x14ac:dyDescent="0.2">
      <c r="A269" t="s">
        <v>1725</v>
      </c>
    </row>
    <row r="270" spans="1:1" x14ac:dyDescent="0.2">
      <c r="A270" t="s">
        <v>1736</v>
      </c>
    </row>
    <row r="271" spans="1:1" x14ac:dyDescent="0.2">
      <c r="A271" t="s">
        <v>1589</v>
      </c>
    </row>
    <row r="272" spans="1:1" x14ac:dyDescent="0.2">
      <c r="A272" t="s">
        <v>1776</v>
      </c>
    </row>
    <row r="273" spans="1:1" x14ac:dyDescent="0.2">
      <c r="A273" t="s">
        <v>1631</v>
      </c>
    </row>
    <row r="274" spans="1:1" x14ac:dyDescent="0.2">
      <c r="A274" t="s">
        <v>1574</v>
      </c>
    </row>
    <row r="275" spans="1:1" x14ac:dyDescent="0.2">
      <c r="A275" t="s">
        <v>1575</v>
      </c>
    </row>
    <row r="276" spans="1:1" x14ac:dyDescent="0.2">
      <c r="A276" t="s">
        <v>1645</v>
      </c>
    </row>
    <row r="277" spans="1:1" x14ac:dyDescent="0.2">
      <c r="A277" t="s">
        <v>1621</v>
      </c>
    </row>
    <row r="278" spans="1:1" x14ac:dyDescent="0.2">
      <c r="A278" t="s">
        <v>1576</v>
      </c>
    </row>
    <row r="279" spans="1:1" x14ac:dyDescent="0.2">
      <c r="A279" t="s">
        <v>1655</v>
      </c>
    </row>
    <row r="280" spans="1:1" x14ac:dyDescent="0.2">
      <c r="A280" t="s">
        <v>1534</v>
      </c>
    </row>
    <row r="281" spans="1:1" x14ac:dyDescent="0.2">
      <c r="A281" t="s">
        <v>1578</v>
      </c>
    </row>
    <row r="282" spans="1:1" x14ac:dyDescent="0.2">
      <c r="A282" t="s">
        <v>1577</v>
      </c>
    </row>
    <row r="283" spans="1:1" x14ac:dyDescent="0.2">
      <c r="A283" t="s">
        <v>1638</v>
      </c>
    </row>
    <row r="284" spans="1:1" x14ac:dyDescent="0.2">
      <c r="A284" t="s">
        <v>1728</v>
      </c>
    </row>
    <row r="285" spans="1:1" x14ac:dyDescent="0.2">
      <c r="A285" t="s">
        <v>1639</v>
      </c>
    </row>
    <row r="286" spans="1:1" x14ac:dyDescent="0.2">
      <c r="A286" t="s">
        <v>1515</v>
      </c>
    </row>
    <row r="287" spans="1:1" x14ac:dyDescent="0.2">
      <c r="A287" t="s">
        <v>1634</v>
      </c>
    </row>
    <row r="288" spans="1:1" x14ac:dyDescent="0.2">
      <c r="A288" t="s">
        <v>1513</v>
      </c>
    </row>
    <row r="289" spans="1:1" x14ac:dyDescent="0.2">
      <c r="A289" t="s">
        <v>1579</v>
      </c>
    </row>
    <row r="290" spans="1:1" x14ac:dyDescent="0.2">
      <c r="A290" t="s">
        <v>1796</v>
      </c>
    </row>
    <row r="291" spans="1:1" x14ac:dyDescent="0.2">
      <c r="A291" t="s">
        <v>1793</v>
      </c>
    </row>
    <row r="292" spans="1:1" x14ac:dyDescent="0.2">
      <c r="A292" t="s">
        <v>1794</v>
      </c>
    </row>
    <row r="293" spans="1:1" x14ac:dyDescent="0.2">
      <c r="A293" t="s">
        <v>1795</v>
      </c>
    </row>
    <row r="294" spans="1:1" x14ac:dyDescent="0.2">
      <c r="A294" t="s">
        <v>1786</v>
      </c>
    </row>
    <row r="295" spans="1:1" x14ac:dyDescent="0.2">
      <c r="A295" t="s">
        <v>1788</v>
      </c>
    </row>
    <row r="296" spans="1:1" x14ac:dyDescent="0.2">
      <c r="A296" t="s">
        <v>1787</v>
      </c>
    </row>
    <row r="297" spans="1:1" x14ac:dyDescent="0.2">
      <c r="A297" t="s">
        <v>1790</v>
      </c>
    </row>
    <row r="298" spans="1:1" x14ac:dyDescent="0.2">
      <c r="A298" t="s">
        <v>1789</v>
      </c>
    </row>
    <row r="299" spans="1:1" x14ac:dyDescent="0.2">
      <c r="A299" t="s">
        <v>1537</v>
      </c>
    </row>
    <row r="300" spans="1:1" x14ac:dyDescent="0.2">
      <c r="A300" t="s">
        <v>1784</v>
      </c>
    </row>
    <row r="301" spans="1:1" x14ac:dyDescent="0.2">
      <c r="A301" t="s">
        <v>1791</v>
      </c>
    </row>
    <row r="302" spans="1:1" x14ac:dyDescent="0.2">
      <c r="A302" t="s">
        <v>1792</v>
      </c>
    </row>
    <row r="303" spans="1:1" x14ac:dyDescent="0.2">
      <c r="A303" t="s">
        <v>1785</v>
      </c>
    </row>
    <row r="304" spans="1:1" x14ac:dyDescent="0.2">
      <c r="A304" t="s">
        <v>1782</v>
      </c>
    </row>
    <row r="305" spans="1:1" x14ac:dyDescent="0.2">
      <c r="A305" t="s">
        <v>1542</v>
      </c>
    </row>
    <row r="306" spans="1:1" x14ac:dyDescent="0.2">
      <c r="A306" t="s">
        <v>1536</v>
      </c>
    </row>
    <row r="307" spans="1:1" x14ac:dyDescent="0.2">
      <c r="A307" t="s">
        <v>1783</v>
      </c>
    </row>
    <row r="308" spans="1:1" x14ac:dyDescent="0.2">
      <c r="A308" t="s">
        <v>1675</v>
      </c>
    </row>
    <row r="309" spans="1:1" x14ac:dyDescent="0.2">
      <c r="A309" t="s">
        <v>1813</v>
      </c>
    </row>
    <row r="310" spans="1:1" x14ac:dyDescent="0.2">
      <c r="A310" t="s">
        <v>1814</v>
      </c>
    </row>
    <row r="311" spans="1:1" x14ac:dyDescent="0.2">
      <c r="A311" t="s">
        <v>1580</v>
      </c>
    </row>
    <row r="312" spans="1:1" x14ac:dyDescent="0.2">
      <c r="A312" t="s">
        <v>1581</v>
      </c>
    </row>
    <row r="313" spans="1:1" x14ac:dyDescent="0.2">
      <c r="A313" t="s">
        <v>1582</v>
      </c>
    </row>
    <row r="314" spans="1:1" x14ac:dyDescent="0.2">
      <c r="A314" t="s">
        <v>1583</v>
      </c>
    </row>
    <row r="315" spans="1:1" x14ac:dyDescent="0.2">
      <c r="A315" t="s">
        <v>1766</v>
      </c>
    </row>
    <row r="316" spans="1:1" x14ac:dyDescent="0.2">
      <c r="A316" t="s">
        <v>1535</v>
      </c>
    </row>
    <row r="317" spans="1:1" x14ac:dyDescent="0.2">
      <c r="A317" t="s">
        <v>1584</v>
      </c>
    </row>
  </sheetData>
  <autoFilter ref="A1:A317" xr:uid="{B71940B2-7B1F-8849-90EE-2C86B8EEA43D}">
    <sortState xmlns:xlrd2="http://schemas.microsoft.com/office/spreadsheetml/2017/richdata2" ref="A2:A317">
      <sortCondition ref="A1:A317"/>
    </sortState>
  </autoFilter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89BFE-68F4-0546-A0F2-7236C601326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supplementary_tables(Sheet2)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Tarasov, Sergei</dc:creator>
  <cp:lastModifiedBy>Tarasov, Sergei</cp:lastModifiedBy>
  <dcterms:created xsi:type="dcterms:W3CDTF">2025-06-11T10:55:45Z</dcterms:created>
  <dcterms:modified xsi:type="dcterms:W3CDTF">2025-06-13T14:04:02Z</dcterms:modified>
</cp:coreProperties>
</file>